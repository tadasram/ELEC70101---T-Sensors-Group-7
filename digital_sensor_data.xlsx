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nry\Desktop\"/>
    </mc:Choice>
  </mc:AlternateContent>
  <xr:revisionPtr revIDLastSave="0" documentId="13_ncr:1_{6A421C5D-B630-4BBC-A73D-D78A9B03E6A6}" xr6:coauthVersionLast="47" xr6:coauthVersionMax="47" xr10:uidLastSave="{00000000-0000-0000-0000-000000000000}"/>
  <bookViews>
    <workbookView xWindow="-98" yWindow="-98" windowWidth="21795" windowHeight="13875" xr2:uid="{D20D8B8D-36BD-4BE9-AC71-A8C5632FEC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11" i="1" l="1"/>
  <c r="K108" i="1"/>
  <c r="G111" i="1"/>
  <c r="G108" i="1"/>
  <c r="K110" i="1"/>
  <c r="K107" i="1"/>
  <c r="G110" i="1"/>
  <c r="G107" i="1"/>
  <c r="E45" i="1"/>
  <c r="E42" i="1"/>
  <c r="D46" i="1" a="1"/>
  <c r="D46" i="1"/>
  <c r="D45" i="1" a="1"/>
  <c r="D45" i="1"/>
  <c r="D43" i="1" a="1"/>
  <c r="D43" i="1" s="1"/>
  <c r="D42" i="1" a="1"/>
  <c r="D42" i="1" s="1"/>
  <c r="AE82" i="1"/>
  <c r="AF96" i="1" s="1"/>
  <c r="T85" i="1"/>
  <c r="T86" i="1"/>
  <c r="T116" i="1"/>
  <c r="T117" i="1"/>
  <c r="T140" i="1"/>
  <c r="T148" i="1"/>
  <c r="T171" i="1"/>
  <c r="T172" i="1"/>
  <c r="T202" i="1"/>
  <c r="T203" i="1"/>
  <c r="T226" i="1"/>
  <c r="T234" i="1"/>
  <c r="T257" i="1"/>
  <c r="T258" i="1"/>
  <c r="T285" i="1"/>
  <c r="T286" i="1"/>
  <c r="T306" i="1"/>
  <c r="T313" i="1"/>
  <c r="T332" i="1"/>
  <c r="T333" i="1"/>
  <c r="T358" i="1"/>
  <c r="T360" i="1"/>
  <c r="T379" i="1"/>
  <c r="T386" i="1"/>
  <c r="T405" i="1"/>
  <c r="T406" i="1"/>
  <c r="T425" i="1"/>
  <c r="T430" i="1"/>
  <c r="T443" i="1"/>
  <c r="T449" i="1"/>
  <c r="T461" i="1"/>
  <c r="T467" i="1"/>
  <c r="T480" i="1"/>
  <c r="T485" i="1"/>
  <c r="T498" i="1"/>
  <c r="T504" i="1"/>
  <c r="T516" i="1"/>
  <c r="T522" i="1"/>
  <c r="T534" i="1"/>
  <c r="T540" i="1"/>
  <c r="T553" i="1"/>
  <c r="T558" i="1"/>
  <c r="S82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G29" i="1"/>
  <c r="G30" i="1"/>
  <c r="G31" i="1"/>
  <c r="G32" i="1"/>
  <c r="G33" i="1"/>
  <c r="G34" i="1"/>
  <c r="G35" i="1"/>
  <c r="G28" i="1"/>
  <c r="C29" i="1"/>
  <c r="C30" i="1"/>
  <c r="C31" i="1"/>
  <c r="C32" i="1"/>
  <c r="C33" i="1"/>
  <c r="C34" i="1"/>
  <c r="C35" i="1"/>
  <c r="C36" i="1"/>
  <c r="C37" i="1"/>
  <c r="C38" i="1"/>
  <c r="C28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3" i="1"/>
  <c r="G17" i="1"/>
  <c r="G18" i="1"/>
  <c r="G19" i="1"/>
  <c r="G20" i="1"/>
  <c r="G21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3" i="1"/>
  <c r="T87" i="1" l="1"/>
  <c r="T95" i="1"/>
  <c r="T103" i="1"/>
  <c r="T111" i="1"/>
  <c r="T119" i="1"/>
  <c r="T127" i="1"/>
  <c r="T135" i="1"/>
  <c r="T143" i="1"/>
  <c r="T151" i="1"/>
  <c r="T159" i="1"/>
  <c r="T167" i="1"/>
  <c r="T175" i="1"/>
  <c r="T183" i="1"/>
  <c r="T191" i="1"/>
  <c r="T199" i="1"/>
  <c r="T207" i="1"/>
  <c r="T215" i="1"/>
  <c r="T223" i="1"/>
  <c r="T231" i="1"/>
  <c r="T239" i="1"/>
  <c r="T247" i="1"/>
  <c r="T255" i="1"/>
  <c r="T263" i="1"/>
  <c r="T271" i="1"/>
  <c r="T279" i="1"/>
  <c r="T287" i="1"/>
  <c r="T295" i="1"/>
  <c r="T303" i="1"/>
  <c r="T311" i="1"/>
  <c r="T319" i="1"/>
  <c r="T327" i="1"/>
  <c r="T335" i="1"/>
  <c r="T343" i="1"/>
  <c r="T351" i="1"/>
  <c r="T359" i="1"/>
  <c r="T367" i="1"/>
  <c r="T375" i="1"/>
  <c r="T383" i="1"/>
  <c r="T391" i="1"/>
  <c r="T399" i="1"/>
  <c r="T407" i="1"/>
  <c r="T415" i="1"/>
  <c r="T423" i="1"/>
  <c r="T431" i="1"/>
  <c r="T439" i="1"/>
  <c r="T447" i="1"/>
  <c r="T455" i="1"/>
  <c r="T463" i="1"/>
  <c r="T471" i="1"/>
  <c r="T479" i="1"/>
  <c r="T487" i="1"/>
  <c r="T495" i="1"/>
  <c r="T503" i="1"/>
  <c r="T511" i="1"/>
  <c r="T519" i="1"/>
  <c r="T527" i="1"/>
  <c r="T535" i="1"/>
  <c r="T543" i="1"/>
  <c r="T551" i="1"/>
  <c r="T559" i="1"/>
  <c r="T82" i="1"/>
  <c r="T88" i="1"/>
  <c r="T96" i="1"/>
  <c r="T104" i="1"/>
  <c r="T112" i="1"/>
  <c r="T120" i="1"/>
  <c r="T128" i="1"/>
  <c r="T136" i="1"/>
  <c r="T144" i="1"/>
  <c r="T152" i="1"/>
  <c r="T160" i="1"/>
  <c r="T168" i="1"/>
  <c r="T176" i="1"/>
  <c r="T184" i="1"/>
  <c r="T192" i="1"/>
  <c r="T200" i="1"/>
  <c r="T208" i="1"/>
  <c r="T216" i="1"/>
  <c r="T224" i="1"/>
  <c r="T232" i="1"/>
  <c r="T240" i="1"/>
  <c r="T248" i="1"/>
  <c r="T256" i="1"/>
  <c r="T264" i="1"/>
  <c r="T272" i="1"/>
  <c r="T89" i="1"/>
  <c r="T99" i="1"/>
  <c r="T109" i="1"/>
  <c r="T121" i="1"/>
  <c r="T131" i="1"/>
  <c r="T141" i="1"/>
  <c r="T153" i="1"/>
  <c r="T163" i="1"/>
  <c r="T173" i="1"/>
  <c r="T185" i="1"/>
  <c r="T195" i="1"/>
  <c r="T205" i="1"/>
  <c r="T217" i="1"/>
  <c r="T227" i="1"/>
  <c r="T237" i="1"/>
  <c r="T249" i="1"/>
  <c r="T259" i="1"/>
  <c r="T269" i="1"/>
  <c r="T280" i="1"/>
  <c r="T289" i="1"/>
  <c r="T298" i="1"/>
  <c r="T307" i="1"/>
  <c r="T316" i="1"/>
  <c r="T325" i="1"/>
  <c r="T334" i="1"/>
  <c r="T344" i="1"/>
  <c r="T353" i="1"/>
  <c r="T362" i="1"/>
  <c r="T371" i="1"/>
  <c r="T380" i="1"/>
  <c r="T389" i="1"/>
  <c r="T398" i="1"/>
  <c r="T408" i="1"/>
  <c r="T417" i="1"/>
  <c r="T426" i="1"/>
  <c r="T435" i="1"/>
  <c r="T444" i="1"/>
  <c r="T453" i="1"/>
  <c r="T462" i="1"/>
  <c r="T472" i="1"/>
  <c r="T481" i="1"/>
  <c r="T490" i="1"/>
  <c r="T499" i="1"/>
  <c r="T508" i="1"/>
  <c r="T517" i="1"/>
  <c r="T526" i="1"/>
  <c r="T536" i="1"/>
  <c r="T545" i="1"/>
  <c r="T554" i="1"/>
  <c r="T563" i="1"/>
  <c r="T409" i="1"/>
  <c r="T418" i="1"/>
  <c r="T427" i="1"/>
  <c r="T436" i="1"/>
  <c r="T445" i="1"/>
  <c r="T454" i="1"/>
  <c r="T464" i="1"/>
  <c r="T473" i="1"/>
  <c r="T482" i="1"/>
  <c r="T491" i="1"/>
  <c r="T500" i="1"/>
  <c r="T509" i="1"/>
  <c r="T518" i="1"/>
  <c r="T528" i="1"/>
  <c r="T537" i="1"/>
  <c r="T546" i="1"/>
  <c r="T555" i="1"/>
  <c r="T564" i="1"/>
  <c r="T91" i="1"/>
  <c r="T113" i="1"/>
  <c r="T123" i="1"/>
  <c r="T133" i="1"/>
  <c r="T145" i="1"/>
  <c r="T155" i="1"/>
  <c r="T177" i="1"/>
  <c r="T187" i="1"/>
  <c r="T209" i="1"/>
  <c r="T229" i="1"/>
  <c r="T251" i="1"/>
  <c r="T273" i="1"/>
  <c r="T291" i="1"/>
  <c r="T309" i="1"/>
  <c r="T328" i="1"/>
  <c r="T346" i="1"/>
  <c r="T364" i="1"/>
  <c r="T382" i="1"/>
  <c r="T401" i="1"/>
  <c r="T419" i="1"/>
  <c r="T437" i="1"/>
  <c r="T446" i="1"/>
  <c r="T465" i="1"/>
  <c r="T474" i="1"/>
  <c r="T492" i="1"/>
  <c r="T510" i="1"/>
  <c r="T529" i="1"/>
  <c r="T538" i="1"/>
  <c r="T556" i="1"/>
  <c r="T92" i="1"/>
  <c r="T102" i="1"/>
  <c r="T114" i="1"/>
  <c r="T124" i="1"/>
  <c r="T134" i="1"/>
  <c r="T146" i="1"/>
  <c r="T156" i="1"/>
  <c r="T166" i="1"/>
  <c r="T178" i="1"/>
  <c r="T188" i="1"/>
  <c r="T198" i="1"/>
  <c r="T210" i="1"/>
  <c r="T220" i="1"/>
  <c r="T230" i="1"/>
  <c r="T242" i="1"/>
  <c r="T252" i="1"/>
  <c r="T262" i="1"/>
  <c r="T274" i="1"/>
  <c r="T283" i="1"/>
  <c r="T292" i="1"/>
  <c r="T301" i="1"/>
  <c r="T310" i="1"/>
  <c r="T320" i="1"/>
  <c r="T329" i="1"/>
  <c r="T338" i="1"/>
  <c r="T347" i="1"/>
  <c r="T356" i="1"/>
  <c r="T365" i="1"/>
  <c r="T374" i="1"/>
  <c r="T384" i="1"/>
  <c r="T393" i="1"/>
  <c r="T402" i="1"/>
  <c r="T411" i="1"/>
  <c r="T420" i="1"/>
  <c r="T429" i="1"/>
  <c r="T438" i="1"/>
  <c r="T448" i="1"/>
  <c r="T457" i="1"/>
  <c r="T466" i="1"/>
  <c r="T475" i="1"/>
  <c r="T484" i="1"/>
  <c r="T493" i="1"/>
  <c r="T502" i="1"/>
  <c r="T512" i="1"/>
  <c r="T521" i="1"/>
  <c r="T530" i="1"/>
  <c r="T539" i="1"/>
  <c r="T548" i="1"/>
  <c r="T557" i="1"/>
  <c r="T566" i="1"/>
  <c r="T90" i="1"/>
  <c r="T100" i="1"/>
  <c r="T110" i="1"/>
  <c r="T122" i="1"/>
  <c r="T132" i="1"/>
  <c r="T142" i="1"/>
  <c r="T154" i="1"/>
  <c r="T164" i="1"/>
  <c r="T174" i="1"/>
  <c r="T186" i="1"/>
  <c r="T196" i="1"/>
  <c r="T206" i="1"/>
  <c r="T218" i="1"/>
  <c r="T228" i="1"/>
  <c r="T238" i="1"/>
  <c r="T250" i="1"/>
  <c r="T260" i="1"/>
  <c r="T270" i="1"/>
  <c r="T281" i="1"/>
  <c r="T290" i="1"/>
  <c r="T299" i="1"/>
  <c r="T308" i="1"/>
  <c r="T317" i="1"/>
  <c r="T326" i="1"/>
  <c r="T336" i="1"/>
  <c r="T345" i="1"/>
  <c r="T354" i="1"/>
  <c r="T363" i="1"/>
  <c r="T372" i="1"/>
  <c r="T381" i="1"/>
  <c r="T390" i="1"/>
  <c r="T400" i="1"/>
  <c r="T101" i="1"/>
  <c r="T165" i="1"/>
  <c r="T197" i="1"/>
  <c r="T219" i="1"/>
  <c r="T241" i="1"/>
  <c r="T261" i="1"/>
  <c r="T282" i="1"/>
  <c r="T300" i="1"/>
  <c r="T318" i="1"/>
  <c r="T337" i="1"/>
  <c r="T355" i="1"/>
  <c r="T373" i="1"/>
  <c r="T392" i="1"/>
  <c r="T410" i="1"/>
  <c r="T428" i="1"/>
  <c r="T456" i="1"/>
  <c r="T483" i="1"/>
  <c r="T501" i="1"/>
  <c r="T520" i="1"/>
  <c r="T547" i="1"/>
  <c r="T565" i="1"/>
  <c r="T93" i="1"/>
  <c r="T105" i="1"/>
  <c r="T115" i="1"/>
  <c r="T125" i="1"/>
  <c r="T147" i="1"/>
  <c r="T157" i="1"/>
  <c r="T169" i="1"/>
  <c r="T179" i="1"/>
  <c r="T189" i="1"/>
  <c r="T201" i="1"/>
  <c r="T211" i="1"/>
  <c r="T221" i="1"/>
  <c r="T233" i="1"/>
  <c r="T243" i="1"/>
  <c r="T253" i="1"/>
  <c r="T265" i="1"/>
  <c r="T275" i="1"/>
  <c r="T284" i="1"/>
  <c r="T293" i="1"/>
  <c r="T302" i="1"/>
  <c r="T312" i="1"/>
  <c r="T321" i="1"/>
  <c r="T330" i="1"/>
  <c r="T339" i="1"/>
  <c r="T348" i="1"/>
  <c r="T357" i="1"/>
  <c r="T366" i="1"/>
  <c r="T376" i="1"/>
  <c r="T385" i="1"/>
  <c r="T394" i="1"/>
  <c r="T403" i="1"/>
  <c r="T412" i="1"/>
  <c r="T137" i="1"/>
  <c r="T532" i="1"/>
  <c r="T496" i="1"/>
  <c r="T459" i="1"/>
  <c r="T422" i="1"/>
  <c r="T397" i="1"/>
  <c r="T350" i="1"/>
  <c r="T304" i="1"/>
  <c r="T246" i="1"/>
  <c r="T193" i="1"/>
  <c r="T83" i="1"/>
  <c r="T531" i="1"/>
  <c r="T494" i="1"/>
  <c r="T458" i="1"/>
  <c r="T421" i="1"/>
  <c r="T370" i="1"/>
  <c r="T323" i="1"/>
  <c r="T276" i="1"/>
  <c r="T214" i="1"/>
  <c r="T161" i="1"/>
  <c r="T106" i="1"/>
  <c r="T562" i="1"/>
  <c r="T525" i="1"/>
  <c r="T489" i="1"/>
  <c r="T470" i="1"/>
  <c r="T434" i="1"/>
  <c r="T416" i="1"/>
  <c r="T395" i="1"/>
  <c r="T369" i="1"/>
  <c r="T342" i="1"/>
  <c r="T322" i="1"/>
  <c r="T296" i="1"/>
  <c r="T268" i="1"/>
  <c r="T244" i="1"/>
  <c r="T213" i="1"/>
  <c r="T182" i="1"/>
  <c r="T158" i="1"/>
  <c r="T129" i="1"/>
  <c r="T98" i="1"/>
  <c r="T561" i="1"/>
  <c r="T542" i="1"/>
  <c r="T524" i="1"/>
  <c r="T506" i="1"/>
  <c r="T488" i="1"/>
  <c r="T469" i="1"/>
  <c r="T451" i="1"/>
  <c r="T433" i="1"/>
  <c r="T414" i="1"/>
  <c r="T388" i="1"/>
  <c r="T368" i="1"/>
  <c r="T341" i="1"/>
  <c r="T315" i="1"/>
  <c r="T294" i="1"/>
  <c r="T267" i="1"/>
  <c r="T236" i="1"/>
  <c r="T212" i="1"/>
  <c r="T181" i="1"/>
  <c r="T150" i="1"/>
  <c r="T126" i="1"/>
  <c r="T97" i="1"/>
  <c r="T552" i="1"/>
  <c r="T533" i="1"/>
  <c r="T515" i="1"/>
  <c r="T497" i="1"/>
  <c r="T478" i="1"/>
  <c r="T460" i="1"/>
  <c r="T442" i="1"/>
  <c r="T424" i="1"/>
  <c r="T404" i="1"/>
  <c r="T378" i="1"/>
  <c r="T352" i="1"/>
  <c r="T331" i="1"/>
  <c r="T305" i="1"/>
  <c r="T278" i="1"/>
  <c r="T254" i="1"/>
  <c r="T225" i="1"/>
  <c r="T194" i="1"/>
  <c r="T170" i="1"/>
  <c r="T139" i="1"/>
  <c r="T108" i="1"/>
  <c r="T84" i="1"/>
  <c r="T550" i="1"/>
  <c r="T514" i="1"/>
  <c r="T477" i="1"/>
  <c r="T441" i="1"/>
  <c r="T377" i="1"/>
  <c r="T324" i="1"/>
  <c r="T277" i="1"/>
  <c r="T222" i="1"/>
  <c r="T162" i="1"/>
  <c r="T138" i="1"/>
  <c r="T107" i="1"/>
  <c r="T549" i="1"/>
  <c r="T513" i="1"/>
  <c r="T476" i="1"/>
  <c r="T440" i="1"/>
  <c r="T396" i="1"/>
  <c r="T349" i="1"/>
  <c r="T297" i="1"/>
  <c r="T245" i="1"/>
  <c r="T190" i="1"/>
  <c r="T130" i="1"/>
  <c r="T544" i="1"/>
  <c r="T507" i="1"/>
  <c r="T452" i="1"/>
  <c r="T560" i="1"/>
  <c r="T541" i="1"/>
  <c r="T523" i="1"/>
  <c r="T505" i="1"/>
  <c r="T486" i="1"/>
  <c r="T468" i="1"/>
  <c r="T450" i="1"/>
  <c r="T432" i="1"/>
  <c r="T413" i="1"/>
  <c r="T387" i="1"/>
  <c r="T361" i="1"/>
  <c r="T340" i="1"/>
  <c r="T314" i="1"/>
  <c r="T288" i="1"/>
  <c r="T266" i="1"/>
  <c r="T235" i="1"/>
  <c r="T204" i="1"/>
  <c r="T180" i="1"/>
  <c r="T149" i="1"/>
  <c r="T118" i="1"/>
  <c r="T94" i="1"/>
  <c r="AF542" i="1"/>
  <c r="AF510" i="1"/>
  <c r="AF446" i="1"/>
  <c r="AF382" i="1"/>
  <c r="AF286" i="1"/>
  <c r="AF222" i="1"/>
  <c r="AF94" i="1"/>
  <c r="AF472" i="1"/>
  <c r="AF440" i="1"/>
  <c r="AF408" i="1"/>
  <c r="AF376" i="1"/>
  <c r="AF344" i="1"/>
  <c r="AF312" i="1"/>
  <c r="AF280" i="1"/>
  <c r="AF248" i="1"/>
  <c r="AF216" i="1"/>
  <c r="AF184" i="1"/>
  <c r="AF152" i="1"/>
  <c r="AF120" i="1"/>
  <c r="AF566" i="1"/>
  <c r="AF534" i="1"/>
  <c r="AF502" i="1"/>
  <c r="AF470" i="1"/>
  <c r="AF438" i="1"/>
  <c r="AF406" i="1"/>
  <c r="AF374" i="1"/>
  <c r="AF342" i="1"/>
  <c r="AF310" i="1"/>
  <c r="AF278" i="1"/>
  <c r="AF246" i="1"/>
  <c r="AF214" i="1"/>
  <c r="AF182" i="1"/>
  <c r="AF150" i="1"/>
  <c r="AF118" i="1"/>
  <c r="AF560" i="1"/>
  <c r="AF528" i="1"/>
  <c r="AF496" i="1"/>
  <c r="AF464" i="1"/>
  <c r="AF432" i="1"/>
  <c r="AF400" i="1"/>
  <c r="AF368" i="1"/>
  <c r="AF336" i="1"/>
  <c r="AF304" i="1"/>
  <c r="AF272" i="1"/>
  <c r="AF240" i="1"/>
  <c r="AF208" i="1"/>
  <c r="AF176" i="1"/>
  <c r="AF144" i="1"/>
  <c r="AF112" i="1"/>
  <c r="AF318" i="1"/>
  <c r="AF536" i="1"/>
  <c r="AF206" i="1"/>
  <c r="AF360" i="1"/>
  <c r="AF104" i="1"/>
  <c r="AF158" i="1"/>
  <c r="AF526" i="1"/>
  <c r="AF462" i="1"/>
  <c r="AF398" i="1"/>
  <c r="AF302" i="1"/>
  <c r="AF142" i="1"/>
  <c r="AF552" i="1"/>
  <c r="AF488" i="1"/>
  <c r="AF424" i="1"/>
  <c r="AF296" i="1"/>
  <c r="AF168" i="1"/>
  <c r="AF550" i="1"/>
  <c r="AF518" i="1"/>
  <c r="AF486" i="1"/>
  <c r="AF454" i="1"/>
  <c r="AF422" i="1"/>
  <c r="AF390" i="1"/>
  <c r="AF358" i="1"/>
  <c r="AF326" i="1"/>
  <c r="AF294" i="1"/>
  <c r="AF262" i="1"/>
  <c r="AF230" i="1"/>
  <c r="AF198" i="1"/>
  <c r="AF166" i="1"/>
  <c r="AF134" i="1"/>
  <c r="AF102" i="1"/>
  <c r="AF478" i="1"/>
  <c r="AF414" i="1"/>
  <c r="AF350" i="1"/>
  <c r="AF254" i="1"/>
  <c r="AF190" i="1"/>
  <c r="AF126" i="1"/>
  <c r="AF504" i="1"/>
  <c r="AF83" i="1"/>
  <c r="AF558" i="1"/>
  <c r="AF494" i="1"/>
  <c r="AF430" i="1"/>
  <c r="AF366" i="1"/>
  <c r="AF334" i="1"/>
  <c r="AF270" i="1"/>
  <c r="AF238" i="1"/>
  <c r="AF174" i="1"/>
  <c r="AF110" i="1"/>
  <c r="AF520" i="1"/>
  <c r="AF456" i="1"/>
  <c r="AF392" i="1"/>
  <c r="AF328" i="1"/>
  <c r="AF264" i="1"/>
  <c r="AF232" i="1"/>
  <c r="AF200" i="1"/>
  <c r="AF136" i="1"/>
  <c r="AF544" i="1"/>
  <c r="AF512" i="1"/>
  <c r="AF480" i="1"/>
  <c r="AF448" i="1"/>
  <c r="AF416" i="1"/>
  <c r="AF384" i="1"/>
  <c r="AF352" i="1"/>
  <c r="AF320" i="1"/>
  <c r="AF288" i="1"/>
  <c r="AF256" i="1"/>
  <c r="AF224" i="1"/>
  <c r="AF192" i="1"/>
  <c r="AF160" i="1"/>
  <c r="AF128" i="1"/>
  <c r="AF547" i="1"/>
  <c r="AF562" i="1"/>
  <c r="AF554" i="1"/>
  <c r="AF546" i="1"/>
  <c r="AF538" i="1"/>
  <c r="AF530" i="1"/>
  <c r="AF522" i="1"/>
  <c r="AF514" i="1"/>
  <c r="AF506" i="1"/>
  <c r="AF498" i="1"/>
  <c r="AF490" i="1"/>
  <c r="AF482" i="1"/>
  <c r="AF474" i="1"/>
  <c r="AF466" i="1"/>
  <c r="AF458" i="1"/>
  <c r="AF450" i="1"/>
  <c r="AF442" i="1"/>
  <c r="AF434" i="1"/>
  <c r="AF426" i="1"/>
  <c r="AF418" i="1"/>
  <c r="AF410" i="1"/>
  <c r="AF402" i="1"/>
  <c r="AF394" i="1"/>
  <c r="AF386" i="1"/>
  <c r="AF378" i="1"/>
  <c r="AF370" i="1"/>
  <c r="AF362" i="1"/>
  <c r="AF354" i="1"/>
  <c r="AF346" i="1"/>
  <c r="AF338" i="1"/>
  <c r="AF330" i="1"/>
  <c r="AF322" i="1"/>
  <c r="AF314" i="1"/>
  <c r="AF306" i="1"/>
  <c r="AF298" i="1"/>
  <c r="AF290" i="1"/>
  <c r="AF282" i="1"/>
  <c r="AF274" i="1"/>
  <c r="AF266" i="1"/>
  <c r="AF258" i="1"/>
  <c r="AF250" i="1"/>
  <c r="AF242" i="1"/>
  <c r="AF234" i="1"/>
  <c r="AF226" i="1"/>
  <c r="AF218" i="1"/>
  <c r="AF210" i="1"/>
  <c r="AF202" i="1"/>
  <c r="AF194" i="1"/>
  <c r="AF186" i="1"/>
  <c r="AF178" i="1"/>
  <c r="AF170" i="1"/>
  <c r="AF162" i="1"/>
  <c r="AF154" i="1"/>
  <c r="AF146" i="1"/>
  <c r="AF138" i="1"/>
  <c r="AF130" i="1"/>
  <c r="AF122" i="1"/>
  <c r="AF114" i="1"/>
  <c r="AF106" i="1"/>
  <c r="AF98" i="1"/>
  <c r="AF90" i="1"/>
  <c r="AF561" i="1"/>
  <c r="AF553" i="1"/>
  <c r="AF545" i="1"/>
  <c r="AF537" i="1"/>
  <c r="AF529" i="1"/>
  <c r="AF521" i="1"/>
  <c r="AF513" i="1"/>
  <c r="AF505" i="1"/>
  <c r="AF497" i="1"/>
  <c r="AF489" i="1"/>
  <c r="AF481" i="1"/>
  <c r="AF473" i="1"/>
  <c r="AF465" i="1"/>
  <c r="AF457" i="1"/>
  <c r="AF449" i="1"/>
  <c r="AF441" i="1"/>
  <c r="AF433" i="1"/>
  <c r="AF425" i="1"/>
  <c r="AF417" i="1"/>
  <c r="AF409" i="1"/>
  <c r="AF401" i="1"/>
  <c r="AF393" i="1"/>
  <c r="AF385" i="1"/>
  <c r="AF377" i="1"/>
  <c r="AF369" i="1"/>
  <c r="AF361" i="1"/>
  <c r="AF353" i="1"/>
  <c r="AF345" i="1"/>
  <c r="AF337" i="1"/>
  <c r="AF329" i="1"/>
  <c r="AF321" i="1"/>
  <c r="AF313" i="1"/>
  <c r="AF305" i="1"/>
  <c r="AF297" i="1"/>
  <c r="AF289" i="1"/>
  <c r="AF281" i="1"/>
  <c r="AF273" i="1"/>
  <c r="AF265" i="1"/>
  <c r="AF257" i="1"/>
  <c r="AF249" i="1"/>
  <c r="AF241" i="1"/>
  <c r="AF233" i="1"/>
  <c r="AF225" i="1"/>
  <c r="AF217" i="1"/>
  <c r="AF209" i="1"/>
  <c r="AF201" i="1"/>
  <c r="AF193" i="1"/>
  <c r="AF185" i="1"/>
  <c r="AF177" i="1"/>
  <c r="AF169" i="1"/>
  <c r="AF161" i="1"/>
  <c r="AF153" i="1"/>
  <c r="AF145" i="1"/>
  <c r="AF137" i="1"/>
  <c r="AF129" i="1"/>
  <c r="AF121" i="1"/>
  <c r="AF113" i="1"/>
  <c r="AF105" i="1"/>
  <c r="AF97" i="1"/>
  <c r="AF89" i="1"/>
  <c r="AF88" i="1"/>
  <c r="AF82" i="1"/>
  <c r="AF559" i="1"/>
  <c r="AF551" i="1"/>
  <c r="AF543" i="1"/>
  <c r="AF535" i="1"/>
  <c r="AF527" i="1"/>
  <c r="AF519" i="1"/>
  <c r="AF511" i="1"/>
  <c r="AF503" i="1"/>
  <c r="AF495" i="1"/>
  <c r="AF487" i="1"/>
  <c r="AF479" i="1"/>
  <c r="AF471" i="1"/>
  <c r="AF463" i="1"/>
  <c r="AF455" i="1"/>
  <c r="AF447" i="1"/>
  <c r="AF439" i="1"/>
  <c r="AF431" i="1"/>
  <c r="AF423" i="1"/>
  <c r="AF415" i="1"/>
  <c r="AF407" i="1"/>
  <c r="AF399" i="1"/>
  <c r="AF391" i="1"/>
  <c r="AF383" i="1"/>
  <c r="AF375" i="1"/>
  <c r="AF367" i="1"/>
  <c r="AF359" i="1"/>
  <c r="AF351" i="1"/>
  <c r="AF343" i="1"/>
  <c r="AF335" i="1"/>
  <c r="AF327" i="1"/>
  <c r="AF319" i="1"/>
  <c r="AF311" i="1"/>
  <c r="AF303" i="1"/>
  <c r="AF295" i="1"/>
  <c r="AF287" i="1"/>
  <c r="AF279" i="1"/>
  <c r="AF271" i="1"/>
  <c r="AF263" i="1"/>
  <c r="AF255" i="1"/>
  <c r="AF247" i="1"/>
  <c r="AF239" i="1"/>
  <c r="AF231" i="1"/>
  <c r="AF223" i="1"/>
  <c r="AF215" i="1"/>
  <c r="AF207" i="1"/>
  <c r="AF199" i="1"/>
  <c r="AF191" i="1"/>
  <c r="AF183" i="1"/>
  <c r="AF175" i="1"/>
  <c r="AF167" i="1"/>
  <c r="AF159" i="1"/>
  <c r="AF151" i="1"/>
  <c r="AF143" i="1"/>
  <c r="AF135" i="1"/>
  <c r="AF127" i="1"/>
  <c r="AF119" i="1"/>
  <c r="AF111" i="1"/>
  <c r="AF103" i="1"/>
  <c r="AF95" i="1"/>
  <c r="AF87" i="1"/>
  <c r="AF86" i="1"/>
  <c r="AF565" i="1"/>
  <c r="AF557" i="1"/>
  <c r="AF549" i="1"/>
  <c r="AF541" i="1"/>
  <c r="AF533" i="1"/>
  <c r="AF525" i="1"/>
  <c r="AF517" i="1"/>
  <c r="AF509" i="1"/>
  <c r="AF501" i="1"/>
  <c r="AF493" i="1"/>
  <c r="AF485" i="1"/>
  <c r="AF477" i="1"/>
  <c r="AF469" i="1"/>
  <c r="AF461" i="1"/>
  <c r="AF453" i="1"/>
  <c r="AF445" i="1"/>
  <c r="AF437" i="1"/>
  <c r="AF429" i="1"/>
  <c r="AF421" i="1"/>
  <c r="AF413" i="1"/>
  <c r="AF405" i="1"/>
  <c r="AF397" i="1"/>
  <c r="AF389" i="1"/>
  <c r="AF381" i="1"/>
  <c r="AF373" i="1"/>
  <c r="AF365" i="1"/>
  <c r="AF357" i="1"/>
  <c r="AF349" i="1"/>
  <c r="AF341" i="1"/>
  <c r="AF333" i="1"/>
  <c r="AF325" i="1"/>
  <c r="AF317" i="1"/>
  <c r="AF309" i="1"/>
  <c r="AF301" i="1"/>
  <c r="AF293" i="1"/>
  <c r="AF285" i="1"/>
  <c r="AF277" i="1"/>
  <c r="AF269" i="1"/>
  <c r="AF261" i="1"/>
  <c r="AF253" i="1"/>
  <c r="AF245" i="1"/>
  <c r="AF237" i="1"/>
  <c r="AF229" i="1"/>
  <c r="AF221" i="1"/>
  <c r="AF213" i="1"/>
  <c r="AF205" i="1"/>
  <c r="AF197" i="1"/>
  <c r="AF189" i="1"/>
  <c r="AF181" i="1"/>
  <c r="AF173" i="1"/>
  <c r="AF165" i="1"/>
  <c r="AF157" i="1"/>
  <c r="AF149" i="1"/>
  <c r="AF141" i="1"/>
  <c r="AF133" i="1"/>
  <c r="AF125" i="1"/>
  <c r="AF117" i="1"/>
  <c r="AF109" i="1"/>
  <c r="AF101" i="1"/>
  <c r="AF93" i="1"/>
  <c r="AF85" i="1"/>
  <c r="AF564" i="1"/>
  <c r="AF556" i="1"/>
  <c r="AF548" i="1"/>
  <c r="AF540" i="1"/>
  <c r="AF532" i="1"/>
  <c r="AF524" i="1"/>
  <c r="AF516" i="1"/>
  <c r="AF508" i="1"/>
  <c r="AF500" i="1"/>
  <c r="AF492" i="1"/>
  <c r="AF484" i="1"/>
  <c r="AF476" i="1"/>
  <c r="AF468" i="1"/>
  <c r="AF460" i="1"/>
  <c r="AF452" i="1"/>
  <c r="AF444" i="1"/>
  <c r="AF436" i="1"/>
  <c r="AF428" i="1"/>
  <c r="AF420" i="1"/>
  <c r="AF412" i="1"/>
  <c r="AF404" i="1"/>
  <c r="AF396" i="1"/>
  <c r="AF388" i="1"/>
  <c r="AF380" i="1"/>
  <c r="AF372" i="1"/>
  <c r="AF364" i="1"/>
  <c r="AF356" i="1"/>
  <c r="AF348" i="1"/>
  <c r="AF340" i="1"/>
  <c r="AF332" i="1"/>
  <c r="AF324" i="1"/>
  <c r="AF316" i="1"/>
  <c r="AF308" i="1"/>
  <c r="AF300" i="1"/>
  <c r="AF292" i="1"/>
  <c r="AF284" i="1"/>
  <c r="AF276" i="1"/>
  <c r="AF268" i="1"/>
  <c r="AF260" i="1"/>
  <c r="AF252" i="1"/>
  <c r="AF244" i="1"/>
  <c r="AF236" i="1"/>
  <c r="AF228" i="1"/>
  <c r="AF220" i="1"/>
  <c r="AF212" i="1"/>
  <c r="AF204" i="1"/>
  <c r="AF196" i="1"/>
  <c r="AF188" i="1"/>
  <c r="AF180" i="1"/>
  <c r="AF172" i="1"/>
  <c r="AF164" i="1"/>
  <c r="AF156" i="1"/>
  <c r="AF148" i="1"/>
  <c r="AF140" i="1"/>
  <c r="AF132" i="1"/>
  <c r="AF124" i="1"/>
  <c r="AF116" i="1"/>
  <c r="AF108" i="1"/>
  <c r="AF100" i="1"/>
  <c r="AF92" i="1"/>
  <c r="AF84" i="1"/>
  <c r="AF563" i="1"/>
  <c r="AF555" i="1"/>
  <c r="AF539" i="1"/>
  <c r="AF531" i="1"/>
  <c r="AF523" i="1"/>
  <c r="AF515" i="1"/>
  <c r="AF507" i="1"/>
  <c r="AF499" i="1"/>
  <c r="AF491" i="1"/>
  <c r="AF483" i="1"/>
  <c r="AF475" i="1"/>
  <c r="AF467" i="1"/>
  <c r="AF459" i="1"/>
  <c r="AF451" i="1"/>
  <c r="AF443" i="1"/>
  <c r="AF435" i="1"/>
  <c r="AF427" i="1"/>
  <c r="AF419" i="1"/>
  <c r="AF411" i="1"/>
  <c r="AF403" i="1"/>
  <c r="AF395" i="1"/>
  <c r="AF387" i="1"/>
  <c r="AF379" i="1"/>
  <c r="AF371" i="1"/>
  <c r="AF363" i="1"/>
  <c r="AF355" i="1"/>
  <c r="AF347" i="1"/>
  <c r="AF339" i="1"/>
  <c r="AF331" i="1"/>
  <c r="AF323" i="1"/>
  <c r="AF315" i="1"/>
  <c r="AF307" i="1"/>
  <c r="AF299" i="1"/>
  <c r="AF291" i="1"/>
  <c r="AF283" i="1"/>
  <c r="AF275" i="1"/>
  <c r="AF267" i="1"/>
  <c r="AF259" i="1"/>
  <c r="AF251" i="1"/>
  <c r="AF243" i="1"/>
  <c r="AF235" i="1"/>
  <c r="AF227" i="1"/>
  <c r="AF219" i="1"/>
  <c r="AF211" i="1"/>
  <c r="AF203" i="1"/>
  <c r="AF195" i="1"/>
  <c r="AF187" i="1"/>
  <c r="AF179" i="1"/>
  <c r="AF171" i="1"/>
  <c r="AF163" i="1"/>
  <c r="AF155" i="1"/>
  <c r="AF147" i="1"/>
  <c r="AF139" i="1"/>
  <c r="AF131" i="1"/>
  <c r="AF123" i="1"/>
  <c r="AF115" i="1"/>
  <c r="AF107" i="1"/>
  <c r="AF99" i="1"/>
  <c r="AF9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<sst xmlns="http://schemas.openxmlformats.org/spreadsheetml/2006/main" count="48" uniqueCount="30">
  <si>
    <t>Fluke</t>
  </si>
  <si>
    <t>Digital</t>
  </si>
  <si>
    <t>resolution</t>
  </si>
  <si>
    <t>Diff</t>
  </si>
  <si>
    <t>Cooling Data Points</t>
  </si>
  <si>
    <t>Heating Data Points</t>
  </si>
  <si>
    <t>Ideal Line</t>
  </si>
  <si>
    <t xml:space="preserve">        </t>
  </si>
  <si>
    <t>Low Temp Stability</t>
  </si>
  <si>
    <t>High Temp Stability</t>
  </si>
  <si>
    <t>Above rtp</t>
  </si>
  <si>
    <t>Below rtp</t>
  </si>
  <si>
    <t>Cold Temperature Precision</t>
  </si>
  <si>
    <t>Hot Temperature Precision</t>
  </si>
  <si>
    <t xml:space="preserve">Test </t>
  </si>
  <si>
    <t>Temp</t>
  </si>
  <si>
    <t>Test</t>
  </si>
  <si>
    <t>intial reading, I then maintained this temperature for following readings using the fluke</t>
  </si>
  <si>
    <t>Return to RTP</t>
  </si>
  <si>
    <t>Away from RTP</t>
  </si>
  <si>
    <t>Heating Above RTP</t>
  </si>
  <si>
    <t>Cooling Above RTP</t>
  </si>
  <si>
    <t>Heating Below RTP</t>
  </si>
  <si>
    <t>Cooling Below RTP</t>
  </si>
  <si>
    <t>Heat Above RTP</t>
  </si>
  <si>
    <t>Cool Above RTP</t>
  </si>
  <si>
    <t>Heat Below RTP</t>
  </si>
  <si>
    <t>Cool Below RTP</t>
  </si>
  <si>
    <t>Gradients</t>
  </si>
  <si>
    <t>AVRG.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</si>
</sst>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Digital</a:t>
            </a:r>
            <a:r>
              <a:rPr lang="en-GB" baseline="0"/>
              <a:t> Sensor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Heating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Sheet1!$L$36:$L$67</c:f>
              <c:numCache>
                <c:formatCode>General</c:formatCode>
                <c:ptCount val="32"/>
                <c:pt idx="0">
                  <c:v>0.8</c:v>
                </c:pt>
                <c:pt idx="1">
                  <c:v>1.6</c:v>
                </c:pt>
                <c:pt idx="2">
                  <c:v>2</c:v>
                </c:pt>
                <c:pt idx="3">
                  <c:v>3.2</c:v>
                </c:pt>
                <c:pt idx="4">
                  <c:v>4</c:v>
                </c:pt>
                <c:pt idx="5">
                  <c:v>4.9000000000000004</c:v>
                </c:pt>
                <c:pt idx="6">
                  <c:v>6.2</c:v>
                </c:pt>
                <c:pt idx="7">
                  <c:v>7</c:v>
                </c:pt>
                <c:pt idx="8">
                  <c:v>8.1999999999999993</c:v>
                </c:pt>
                <c:pt idx="9">
                  <c:v>9.3000000000000007</c:v>
                </c:pt>
                <c:pt idx="10">
                  <c:v>10.6</c:v>
                </c:pt>
                <c:pt idx="11">
                  <c:v>11.6</c:v>
                </c:pt>
                <c:pt idx="12">
                  <c:v>12.2</c:v>
                </c:pt>
                <c:pt idx="13">
                  <c:v>13.3</c:v>
                </c:pt>
                <c:pt idx="14">
                  <c:v>14.3</c:v>
                </c:pt>
                <c:pt idx="15">
                  <c:v>15.2</c:v>
                </c:pt>
                <c:pt idx="16">
                  <c:v>16.2</c:v>
                </c:pt>
                <c:pt idx="17">
                  <c:v>16.8</c:v>
                </c:pt>
                <c:pt idx="18">
                  <c:v>17.5</c:v>
                </c:pt>
                <c:pt idx="19">
                  <c:v>17.8</c:v>
                </c:pt>
                <c:pt idx="20">
                  <c:v>17.899999999999999</c:v>
                </c:pt>
                <c:pt idx="21">
                  <c:v>18.5</c:v>
                </c:pt>
                <c:pt idx="22">
                  <c:v>20</c:v>
                </c:pt>
                <c:pt idx="23">
                  <c:v>24.6</c:v>
                </c:pt>
                <c:pt idx="24">
                  <c:v>29.6</c:v>
                </c:pt>
                <c:pt idx="25">
                  <c:v>36.5</c:v>
                </c:pt>
                <c:pt idx="26">
                  <c:v>43.4</c:v>
                </c:pt>
                <c:pt idx="27">
                  <c:v>45.9</c:v>
                </c:pt>
                <c:pt idx="28">
                  <c:v>53</c:v>
                </c:pt>
                <c:pt idx="29">
                  <c:v>57.8</c:v>
                </c:pt>
                <c:pt idx="30">
                  <c:v>60</c:v>
                </c:pt>
                <c:pt idx="31">
                  <c:v>62.9</c:v>
                </c:pt>
              </c:numCache>
            </c:numRef>
          </c:xVal>
          <c:yVal>
            <c:numRef>
              <c:f>Sheet1!$M$36:$M$67</c:f>
              <c:numCache>
                <c:formatCode>General</c:formatCode>
                <c:ptCount val="32"/>
                <c:pt idx="0">
                  <c:v>3.69</c:v>
                </c:pt>
                <c:pt idx="1">
                  <c:v>4.38</c:v>
                </c:pt>
                <c:pt idx="2">
                  <c:v>4.6900000000000004</c:v>
                </c:pt>
                <c:pt idx="3">
                  <c:v>5.63</c:v>
                </c:pt>
                <c:pt idx="4">
                  <c:v>6.31</c:v>
                </c:pt>
                <c:pt idx="5">
                  <c:v>7.06</c:v>
                </c:pt>
                <c:pt idx="6">
                  <c:v>8.19</c:v>
                </c:pt>
                <c:pt idx="7">
                  <c:v>8.81</c:v>
                </c:pt>
                <c:pt idx="8">
                  <c:v>9.81</c:v>
                </c:pt>
                <c:pt idx="9">
                  <c:v>10.75</c:v>
                </c:pt>
                <c:pt idx="10">
                  <c:v>11.81</c:v>
                </c:pt>
                <c:pt idx="11">
                  <c:v>12.69</c:v>
                </c:pt>
                <c:pt idx="12">
                  <c:v>13.19</c:v>
                </c:pt>
                <c:pt idx="13">
                  <c:v>14.25</c:v>
                </c:pt>
                <c:pt idx="14">
                  <c:v>14.94</c:v>
                </c:pt>
                <c:pt idx="15">
                  <c:v>15.69</c:v>
                </c:pt>
                <c:pt idx="16">
                  <c:v>16.5</c:v>
                </c:pt>
                <c:pt idx="17">
                  <c:v>17</c:v>
                </c:pt>
                <c:pt idx="18">
                  <c:v>17.62</c:v>
                </c:pt>
                <c:pt idx="19">
                  <c:v>17.809999999999999</c:v>
                </c:pt>
                <c:pt idx="20">
                  <c:v>17.87</c:v>
                </c:pt>
                <c:pt idx="21">
                  <c:v>18.440000000000001</c:v>
                </c:pt>
                <c:pt idx="22">
                  <c:v>19.87</c:v>
                </c:pt>
                <c:pt idx="23">
                  <c:v>24.19</c:v>
                </c:pt>
                <c:pt idx="24">
                  <c:v>29</c:v>
                </c:pt>
                <c:pt idx="25">
                  <c:v>35.5</c:v>
                </c:pt>
                <c:pt idx="26">
                  <c:v>42</c:v>
                </c:pt>
                <c:pt idx="27">
                  <c:v>44.13</c:v>
                </c:pt>
                <c:pt idx="28">
                  <c:v>50.81</c:v>
                </c:pt>
                <c:pt idx="29">
                  <c:v>55.69</c:v>
                </c:pt>
                <c:pt idx="30">
                  <c:v>57.81</c:v>
                </c:pt>
                <c:pt idx="31">
                  <c:v>60.31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CA8-436C-BF57-FAF3C3ECE0A4}"/>
            </c:ext>
          </c:extLst>
        </c:ser>
        <c:ser>
          <c:idx val="1"/>
          <c:order val="1"/>
          <c:tx>
            <c:v>Cooling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Sheet1!$P$36:$P$62</c:f>
              <c:numCache>
                <c:formatCode>General</c:formatCode>
                <c:ptCount val="27"/>
                <c:pt idx="0">
                  <c:v>0.1</c:v>
                </c:pt>
                <c:pt idx="1">
                  <c:v>0.5</c:v>
                </c:pt>
                <c:pt idx="2">
                  <c:v>1.1000000000000001</c:v>
                </c:pt>
                <c:pt idx="3">
                  <c:v>2</c:v>
                </c:pt>
                <c:pt idx="4">
                  <c:v>2.9</c:v>
                </c:pt>
                <c:pt idx="5">
                  <c:v>3.9</c:v>
                </c:pt>
                <c:pt idx="6">
                  <c:v>4.9000000000000004</c:v>
                </c:pt>
                <c:pt idx="7">
                  <c:v>6</c:v>
                </c:pt>
                <c:pt idx="8">
                  <c:v>7</c:v>
                </c:pt>
                <c:pt idx="9">
                  <c:v>7.9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11.8</c:v>
                </c:pt>
                <c:pt idx="14">
                  <c:v>13</c:v>
                </c:pt>
                <c:pt idx="15">
                  <c:v>14</c:v>
                </c:pt>
                <c:pt idx="16">
                  <c:v>15.3</c:v>
                </c:pt>
                <c:pt idx="17">
                  <c:v>16.5</c:v>
                </c:pt>
                <c:pt idx="18">
                  <c:v>17.5</c:v>
                </c:pt>
                <c:pt idx="19">
                  <c:v>25</c:v>
                </c:pt>
                <c:pt idx="20">
                  <c:v>31</c:v>
                </c:pt>
                <c:pt idx="21">
                  <c:v>35.9</c:v>
                </c:pt>
                <c:pt idx="22">
                  <c:v>40</c:v>
                </c:pt>
                <c:pt idx="23">
                  <c:v>44</c:v>
                </c:pt>
                <c:pt idx="24">
                  <c:v>49.5</c:v>
                </c:pt>
                <c:pt idx="25">
                  <c:v>53.3</c:v>
                </c:pt>
                <c:pt idx="26">
                  <c:v>58.8</c:v>
                </c:pt>
              </c:numCache>
            </c:numRef>
          </c:xVal>
          <c:yVal>
            <c:numRef>
              <c:f>Sheet1!$Q$36:$Q$62</c:f>
              <c:numCache>
                <c:formatCode>General</c:formatCode>
                <c:ptCount val="27"/>
                <c:pt idx="0">
                  <c:v>2.63</c:v>
                </c:pt>
                <c:pt idx="1">
                  <c:v>3</c:v>
                </c:pt>
                <c:pt idx="2">
                  <c:v>3.5</c:v>
                </c:pt>
                <c:pt idx="3">
                  <c:v>4.3099999999999996</c:v>
                </c:pt>
                <c:pt idx="4">
                  <c:v>5</c:v>
                </c:pt>
                <c:pt idx="5">
                  <c:v>5.94</c:v>
                </c:pt>
                <c:pt idx="6">
                  <c:v>6.75</c:v>
                </c:pt>
                <c:pt idx="7">
                  <c:v>7.75</c:v>
                </c:pt>
                <c:pt idx="8">
                  <c:v>8.6300000000000008</c:v>
                </c:pt>
                <c:pt idx="9">
                  <c:v>9.3800000000000008</c:v>
                </c:pt>
                <c:pt idx="10">
                  <c:v>10.38</c:v>
                </c:pt>
                <c:pt idx="11">
                  <c:v>11.19</c:v>
                </c:pt>
                <c:pt idx="12">
                  <c:v>12</c:v>
                </c:pt>
                <c:pt idx="13">
                  <c:v>12.69</c:v>
                </c:pt>
                <c:pt idx="14">
                  <c:v>13.75</c:v>
                </c:pt>
                <c:pt idx="15">
                  <c:v>14.63</c:v>
                </c:pt>
                <c:pt idx="16">
                  <c:v>15.75</c:v>
                </c:pt>
                <c:pt idx="17">
                  <c:v>16.75</c:v>
                </c:pt>
                <c:pt idx="18">
                  <c:v>17.559999999999999</c:v>
                </c:pt>
                <c:pt idx="19">
                  <c:v>24.62</c:v>
                </c:pt>
                <c:pt idx="20">
                  <c:v>30.19</c:v>
                </c:pt>
                <c:pt idx="21">
                  <c:v>34.81</c:v>
                </c:pt>
                <c:pt idx="22">
                  <c:v>38.69</c:v>
                </c:pt>
                <c:pt idx="23">
                  <c:v>42.31</c:v>
                </c:pt>
                <c:pt idx="24">
                  <c:v>47.56</c:v>
                </c:pt>
                <c:pt idx="25">
                  <c:v>51.06</c:v>
                </c:pt>
                <c:pt idx="26">
                  <c:v>56.31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CA8-436C-BF57-FAF3C3ECE0A4}"/>
            </c:ext>
          </c:extLst>
        </c:ser>
        <c:ser>
          <c:idx val="2"/>
          <c:order val="2"/>
          <c:tx>
            <c:v>Ideal</c:v>
          </c:tx>
          <c:spPr>
            <a:ln w="19050" cap="rnd" cmpd="sng">
              <a:solidFill>
                <a:schemeClr val="bg2">
                  <a:lumMod val="90000"/>
                </a:schemeClr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Sheet1!$T$36:$T$37</c:f>
              <c:numCache>
                <c:formatCode>General</c:formatCode>
                <c:ptCount val="2"/>
                <c:pt idx="0">
                  <c:v>0</c:v>
                </c:pt>
                <c:pt idx="1">
                  <c:v>65</c:v>
                </c:pt>
              </c:numCache>
            </c:numRef>
          </c:xVal>
          <c:yVal>
            <c:numRef>
              <c:f>Sheet1!$U$36:$U$37</c:f>
              <c:numCache>
                <c:formatCode>General</c:formatCode>
                <c:ptCount val="2"/>
                <c:pt idx="0">
                  <c:v>0</c:v>
                </c:pt>
                <c:pt idx="1">
                  <c:v>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CA8-436C-BF57-FAF3C3ECE0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5266367"/>
        <c:axId val="1815267327"/>
      </c:scatterChart>
      <c:scatterChart>
        <c:scatterStyle val="smoothMarker"/>
        <c:varyColors val="0"/>
        <c:ser>
          <c:idx val="3"/>
          <c:order val="3"/>
          <c:tx>
            <c:v>Error (Heating)</c:v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Sheet1!$L$36:$L$67</c:f>
              <c:numCache>
                <c:formatCode>General</c:formatCode>
                <c:ptCount val="32"/>
                <c:pt idx="0">
                  <c:v>0.8</c:v>
                </c:pt>
                <c:pt idx="1">
                  <c:v>1.6</c:v>
                </c:pt>
                <c:pt idx="2">
                  <c:v>2</c:v>
                </c:pt>
                <c:pt idx="3">
                  <c:v>3.2</c:v>
                </c:pt>
                <c:pt idx="4">
                  <c:v>4</c:v>
                </c:pt>
                <c:pt idx="5">
                  <c:v>4.9000000000000004</c:v>
                </c:pt>
                <c:pt idx="6">
                  <c:v>6.2</c:v>
                </c:pt>
                <c:pt idx="7">
                  <c:v>7</c:v>
                </c:pt>
                <c:pt idx="8">
                  <c:v>8.1999999999999993</c:v>
                </c:pt>
                <c:pt idx="9">
                  <c:v>9.3000000000000007</c:v>
                </c:pt>
                <c:pt idx="10">
                  <c:v>10.6</c:v>
                </c:pt>
                <c:pt idx="11">
                  <c:v>11.6</c:v>
                </c:pt>
                <c:pt idx="12">
                  <c:v>12.2</c:v>
                </c:pt>
                <c:pt idx="13">
                  <c:v>13.3</c:v>
                </c:pt>
                <c:pt idx="14">
                  <c:v>14.3</c:v>
                </c:pt>
                <c:pt idx="15">
                  <c:v>15.2</c:v>
                </c:pt>
                <c:pt idx="16">
                  <c:v>16.2</c:v>
                </c:pt>
                <c:pt idx="17">
                  <c:v>16.8</c:v>
                </c:pt>
                <c:pt idx="18">
                  <c:v>17.5</c:v>
                </c:pt>
                <c:pt idx="19">
                  <c:v>17.8</c:v>
                </c:pt>
                <c:pt idx="20">
                  <c:v>17.899999999999999</c:v>
                </c:pt>
                <c:pt idx="21">
                  <c:v>18.5</c:v>
                </c:pt>
                <c:pt idx="22">
                  <c:v>20</c:v>
                </c:pt>
                <c:pt idx="23">
                  <c:v>24.6</c:v>
                </c:pt>
                <c:pt idx="24">
                  <c:v>29.6</c:v>
                </c:pt>
                <c:pt idx="25">
                  <c:v>36.5</c:v>
                </c:pt>
                <c:pt idx="26">
                  <c:v>43.4</c:v>
                </c:pt>
                <c:pt idx="27">
                  <c:v>45.9</c:v>
                </c:pt>
                <c:pt idx="28">
                  <c:v>53</c:v>
                </c:pt>
                <c:pt idx="29">
                  <c:v>57.8</c:v>
                </c:pt>
                <c:pt idx="30">
                  <c:v>60</c:v>
                </c:pt>
                <c:pt idx="31">
                  <c:v>62.9</c:v>
                </c:pt>
              </c:numCache>
            </c:numRef>
          </c:xVal>
          <c:yVal>
            <c:numRef>
              <c:f>Sheet1!$N$36:$N$67</c:f>
              <c:numCache>
                <c:formatCode>General</c:formatCode>
                <c:ptCount val="32"/>
                <c:pt idx="0">
                  <c:v>2.8899999999999997</c:v>
                </c:pt>
                <c:pt idx="1">
                  <c:v>2.78</c:v>
                </c:pt>
                <c:pt idx="2">
                  <c:v>2.6900000000000004</c:v>
                </c:pt>
                <c:pt idx="3">
                  <c:v>2.4299999999999997</c:v>
                </c:pt>
                <c:pt idx="4">
                  <c:v>2.3099999999999996</c:v>
                </c:pt>
                <c:pt idx="5">
                  <c:v>2.1599999999999993</c:v>
                </c:pt>
                <c:pt idx="6">
                  <c:v>1.9899999999999993</c:v>
                </c:pt>
                <c:pt idx="7">
                  <c:v>1.8100000000000005</c:v>
                </c:pt>
                <c:pt idx="8">
                  <c:v>1.6100000000000012</c:v>
                </c:pt>
                <c:pt idx="9">
                  <c:v>1.4499999999999993</c:v>
                </c:pt>
                <c:pt idx="10">
                  <c:v>1.2100000000000009</c:v>
                </c:pt>
                <c:pt idx="11">
                  <c:v>1.0899999999999999</c:v>
                </c:pt>
                <c:pt idx="12">
                  <c:v>0.99000000000000021</c:v>
                </c:pt>
                <c:pt idx="13">
                  <c:v>0.94999999999999929</c:v>
                </c:pt>
                <c:pt idx="14">
                  <c:v>0.63999999999999879</c:v>
                </c:pt>
                <c:pt idx="15">
                  <c:v>0.49000000000000021</c:v>
                </c:pt>
                <c:pt idx="16">
                  <c:v>0.30000000000000071</c:v>
                </c:pt>
                <c:pt idx="17">
                  <c:v>0.19999999999999929</c:v>
                </c:pt>
                <c:pt idx="18">
                  <c:v>0.12000000000000099</c:v>
                </c:pt>
                <c:pt idx="19">
                  <c:v>9.9999999999980105E-3</c:v>
                </c:pt>
                <c:pt idx="20">
                  <c:v>-2.9999999999997584E-2</c:v>
                </c:pt>
                <c:pt idx="21">
                  <c:v>-5.9999999999998721E-2</c:v>
                </c:pt>
                <c:pt idx="22">
                  <c:v>-0.12999999999999901</c:v>
                </c:pt>
                <c:pt idx="23">
                  <c:v>-0.41000000000000014</c:v>
                </c:pt>
                <c:pt idx="24">
                  <c:v>-0.60000000000000142</c:v>
                </c:pt>
                <c:pt idx="25">
                  <c:v>-1</c:v>
                </c:pt>
                <c:pt idx="26">
                  <c:v>-1.3999999999999986</c:v>
                </c:pt>
                <c:pt idx="27">
                  <c:v>-1.769999999999996</c:v>
                </c:pt>
                <c:pt idx="28">
                  <c:v>-2.1899999999999977</c:v>
                </c:pt>
                <c:pt idx="29">
                  <c:v>-2.1099999999999994</c:v>
                </c:pt>
                <c:pt idx="30">
                  <c:v>-2.1899999999999977</c:v>
                </c:pt>
                <c:pt idx="31">
                  <c:v>-2.5899999999999963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CA8-436C-BF57-FAF3C3ECE0A4}"/>
            </c:ext>
          </c:extLst>
        </c:ser>
        <c:ser>
          <c:idx val="4"/>
          <c:order val="4"/>
          <c:tx>
            <c:v>Error (Cooling)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Sheet1!$P$36:$P$62</c:f>
              <c:numCache>
                <c:formatCode>General</c:formatCode>
                <c:ptCount val="27"/>
                <c:pt idx="0">
                  <c:v>0.1</c:v>
                </c:pt>
                <c:pt idx="1">
                  <c:v>0.5</c:v>
                </c:pt>
                <c:pt idx="2">
                  <c:v>1.1000000000000001</c:v>
                </c:pt>
                <c:pt idx="3">
                  <c:v>2</c:v>
                </c:pt>
                <c:pt idx="4">
                  <c:v>2.9</c:v>
                </c:pt>
                <c:pt idx="5">
                  <c:v>3.9</c:v>
                </c:pt>
                <c:pt idx="6">
                  <c:v>4.9000000000000004</c:v>
                </c:pt>
                <c:pt idx="7">
                  <c:v>6</c:v>
                </c:pt>
                <c:pt idx="8">
                  <c:v>7</c:v>
                </c:pt>
                <c:pt idx="9">
                  <c:v>7.9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11.8</c:v>
                </c:pt>
                <c:pt idx="14">
                  <c:v>13</c:v>
                </c:pt>
                <c:pt idx="15">
                  <c:v>14</c:v>
                </c:pt>
                <c:pt idx="16">
                  <c:v>15.3</c:v>
                </c:pt>
                <c:pt idx="17">
                  <c:v>16.5</c:v>
                </c:pt>
                <c:pt idx="18">
                  <c:v>17.5</c:v>
                </c:pt>
                <c:pt idx="19">
                  <c:v>25</c:v>
                </c:pt>
                <c:pt idx="20">
                  <c:v>31</c:v>
                </c:pt>
                <c:pt idx="21">
                  <c:v>35.9</c:v>
                </c:pt>
                <c:pt idx="22">
                  <c:v>40</c:v>
                </c:pt>
                <c:pt idx="23">
                  <c:v>44</c:v>
                </c:pt>
                <c:pt idx="24">
                  <c:v>49.5</c:v>
                </c:pt>
                <c:pt idx="25">
                  <c:v>53.3</c:v>
                </c:pt>
                <c:pt idx="26">
                  <c:v>58.8</c:v>
                </c:pt>
              </c:numCache>
            </c:numRef>
          </c:xVal>
          <c:yVal>
            <c:numRef>
              <c:f>Sheet1!$R$36:$R$62</c:f>
              <c:numCache>
                <c:formatCode>General</c:formatCode>
                <c:ptCount val="27"/>
                <c:pt idx="0">
                  <c:v>2.5299999999999998</c:v>
                </c:pt>
                <c:pt idx="1">
                  <c:v>2.5</c:v>
                </c:pt>
                <c:pt idx="2">
                  <c:v>2.4</c:v>
                </c:pt>
                <c:pt idx="3">
                  <c:v>2.3099999999999996</c:v>
                </c:pt>
                <c:pt idx="4">
                  <c:v>2.1</c:v>
                </c:pt>
                <c:pt idx="5">
                  <c:v>2.0400000000000005</c:v>
                </c:pt>
                <c:pt idx="6">
                  <c:v>1.8499999999999996</c:v>
                </c:pt>
                <c:pt idx="7">
                  <c:v>1.75</c:v>
                </c:pt>
                <c:pt idx="8">
                  <c:v>1.6300000000000008</c:v>
                </c:pt>
                <c:pt idx="9">
                  <c:v>1.4800000000000004</c:v>
                </c:pt>
                <c:pt idx="10">
                  <c:v>1.3800000000000008</c:v>
                </c:pt>
                <c:pt idx="11">
                  <c:v>1.1899999999999995</c:v>
                </c:pt>
                <c:pt idx="12">
                  <c:v>1</c:v>
                </c:pt>
                <c:pt idx="13">
                  <c:v>0.88999999999999879</c:v>
                </c:pt>
                <c:pt idx="14">
                  <c:v>0.75</c:v>
                </c:pt>
                <c:pt idx="15">
                  <c:v>0.63000000000000078</c:v>
                </c:pt>
                <c:pt idx="16">
                  <c:v>0.44999999999999929</c:v>
                </c:pt>
                <c:pt idx="17">
                  <c:v>0.25</c:v>
                </c:pt>
                <c:pt idx="18">
                  <c:v>5.9999999999998721E-2</c:v>
                </c:pt>
                <c:pt idx="19">
                  <c:v>-0.37999999999999901</c:v>
                </c:pt>
                <c:pt idx="20">
                  <c:v>-0.80999999999999872</c:v>
                </c:pt>
                <c:pt idx="21">
                  <c:v>-1.0899999999999963</c:v>
                </c:pt>
                <c:pt idx="22">
                  <c:v>-1.3100000000000023</c:v>
                </c:pt>
                <c:pt idx="23">
                  <c:v>-1.6899999999999977</c:v>
                </c:pt>
                <c:pt idx="24">
                  <c:v>-1.9399999999999977</c:v>
                </c:pt>
                <c:pt idx="25">
                  <c:v>-2.2399999999999949</c:v>
                </c:pt>
                <c:pt idx="26">
                  <c:v>-2.4899999999999949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CA8-436C-BF57-FAF3C3ECE0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5265887"/>
        <c:axId val="1815266368"/>
      </c:scatterChart>
      <c:valAx>
        <c:axId val="1815266367"/>
        <c:scaling>
          <c:orientation val="minMax"/>
          <c:max val="64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Actual</a:t>
                </a:r>
                <a:r>
                  <a:rPr lang="en-GB" baseline="0"/>
                  <a:t> Temperature (°C)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5267327"/>
        <c:crosses val="autoZero"/>
        <c:crossBetween val="midCat"/>
      </c:valAx>
      <c:valAx>
        <c:axId val="1815267327"/>
        <c:scaling>
          <c:orientation val="minMax"/>
          <c:max val="6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Measured</a:t>
                </a:r>
                <a:r>
                  <a:rPr lang="en-GB" baseline="0"/>
                  <a:t> Tepmerature (°C)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5266367"/>
        <c:crosses val="autoZero"/>
        <c:crossBetween val="midCat"/>
      </c:valAx>
      <c:valAx>
        <c:axId val="1815266368"/>
        <c:scaling>
          <c:orientation val="minMax"/>
          <c:max val="7.5"/>
          <c:min val="-3"/>
        </c:scaling>
        <c:delete val="0"/>
        <c:axPos val="r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Temperature Error (°C) [Measured - Actual]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5265887"/>
        <c:crosses val="max"/>
        <c:crossBetween val="midCat"/>
        <c:majorUnit val="1"/>
        <c:minorUnit val="0.5"/>
      </c:valAx>
      <c:valAx>
        <c:axId val="1815265887"/>
        <c:scaling>
          <c:orientation val="minMax"/>
        </c:scaling>
        <c:delete val="0"/>
        <c:axPos val="t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5266368"/>
        <c:crosses val="max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Heating</a:t>
            </a:r>
            <a:r>
              <a:rPr lang="en-GB" baseline="0"/>
              <a:t> and Cooling Response Curves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Heating Response Curve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x"/>
            <c:size val="3"/>
            <c:spPr>
              <a:noFill/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Sheet1!$A$79:$A$403</c:f>
              <c:numCache>
                <c:formatCode>General</c:formatCode>
                <c:ptCount val="3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</c:numCache>
            </c:numRef>
          </c:xVal>
          <c:yVal>
            <c:numRef>
              <c:f>Sheet1!$B$79:$B$403</c:f>
              <c:numCache>
                <c:formatCode>General</c:formatCode>
                <c:ptCount val="325"/>
                <c:pt idx="0">
                  <c:v>21.69</c:v>
                </c:pt>
                <c:pt idx="1">
                  <c:v>31.87</c:v>
                </c:pt>
                <c:pt idx="2">
                  <c:v>37.380000000000003</c:v>
                </c:pt>
                <c:pt idx="3">
                  <c:v>42.19</c:v>
                </c:pt>
                <c:pt idx="4">
                  <c:v>43.63</c:v>
                </c:pt>
                <c:pt idx="5">
                  <c:v>46.69</c:v>
                </c:pt>
                <c:pt idx="6">
                  <c:v>49.19</c:v>
                </c:pt>
                <c:pt idx="7">
                  <c:v>50.75</c:v>
                </c:pt>
                <c:pt idx="8">
                  <c:v>51.94</c:v>
                </c:pt>
                <c:pt idx="9">
                  <c:v>52.81</c:v>
                </c:pt>
                <c:pt idx="10">
                  <c:v>53.5</c:v>
                </c:pt>
                <c:pt idx="11">
                  <c:v>54.06</c:v>
                </c:pt>
                <c:pt idx="12">
                  <c:v>54.56</c:v>
                </c:pt>
                <c:pt idx="13">
                  <c:v>54.94</c:v>
                </c:pt>
                <c:pt idx="14">
                  <c:v>55.25</c:v>
                </c:pt>
                <c:pt idx="15">
                  <c:v>55.5</c:v>
                </c:pt>
                <c:pt idx="16">
                  <c:v>55.69</c:v>
                </c:pt>
                <c:pt idx="17">
                  <c:v>55.94</c:v>
                </c:pt>
                <c:pt idx="18">
                  <c:v>56.13</c:v>
                </c:pt>
                <c:pt idx="19">
                  <c:v>56.25</c:v>
                </c:pt>
                <c:pt idx="20">
                  <c:v>56.38</c:v>
                </c:pt>
                <c:pt idx="21">
                  <c:v>56.31</c:v>
                </c:pt>
                <c:pt idx="22">
                  <c:v>56.25</c:v>
                </c:pt>
                <c:pt idx="23">
                  <c:v>56.25</c:v>
                </c:pt>
                <c:pt idx="24">
                  <c:v>56.25</c:v>
                </c:pt>
                <c:pt idx="25">
                  <c:v>56.25</c:v>
                </c:pt>
                <c:pt idx="26">
                  <c:v>56.31</c:v>
                </c:pt>
                <c:pt idx="27">
                  <c:v>56.31</c:v>
                </c:pt>
                <c:pt idx="28">
                  <c:v>56.31</c:v>
                </c:pt>
                <c:pt idx="29">
                  <c:v>56.31</c:v>
                </c:pt>
                <c:pt idx="30">
                  <c:v>56.31</c:v>
                </c:pt>
                <c:pt idx="31">
                  <c:v>56.31</c:v>
                </c:pt>
                <c:pt idx="32">
                  <c:v>56.25</c:v>
                </c:pt>
                <c:pt idx="33">
                  <c:v>56.31</c:v>
                </c:pt>
                <c:pt idx="34">
                  <c:v>56.31</c:v>
                </c:pt>
                <c:pt idx="35">
                  <c:v>56.31</c:v>
                </c:pt>
                <c:pt idx="36">
                  <c:v>56.25</c:v>
                </c:pt>
                <c:pt idx="37">
                  <c:v>56.25</c:v>
                </c:pt>
                <c:pt idx="38">
                  <c:v>56.25</c:v>
                </c:pt>
                <c:pt idx="39">
                  <c:v>56.25</c:v>
                </c:pt>
                <c:pt idx="40">
                  <c:v>56.31</c:v>
                </c:pt>
                <c:pt idx="41">
                  <c:v>56.31</c:v>
                </c:pt>
                <c:pt idx="42">
                  <c:v>56.38</c:v>
                </c:pt>
                <c:pt idx="43">
                  <c:v>56.38</c:v>
                </c:pt>
                <c:pt idx="44">
                  <c:v>56.44</c:v>
                </c:pt>
                <c:pt idx="45">
                  <c:v>56.44</c:v>
                </c:pt>
                <c:pt idx="46">
                  <c:v>56.38</c:v>
                </c:pt>
                <c:pt idx="47">
                  <c:v>56.31</c:v>
                </c:pt>
                <c:pt idx="48">
                  <c:v>56.25</c:v>
                </c:pt>
                <c:pt idx="49">
                  <c:v>56.19</c:v>
                </c:pt>
                <c:pt idx="50">
                  <c:v>56.13</c:v>
                </c:pt>
                <c:pt idx="51">
                  <c:v>56.13</c:v>
                </c:pt>
                <c:pt idx="52">
                  <c:v>56.19</c:v>
                </c:pt>
                <c:pt idx="53">
                  <c:v>56.19</c:v>
                </c:pt>
                <c:pt idx="54">
                  <c:v>56.25</c:v>
                </c:pt>
                <c:pt idx="55">
                  <c:v>56.25</c:v>
                </c:pt>
                <c:pt idx="56">
                  <c:v>56.31</c:v>
                </c:pt>
                <c:pt idx="57">
                  <c:v>56.38</c:v>
                </c:pt>
                <c:pt idx="58">
                  <c:v>56.31</c:v>
                </c:pt>
                <c:pt idx="59">
                  <c:v>56.31</c:v>
                </c:pt>
                <c:pt idx="60">
                  <c:v>56.31</c:v>
                </c:pt>
                <c:pt idx="61">
                  <c:v>56.25</c:v>
                </c:pt>
                <c:pt idx="62">
                  <c:v>56.25</c:v>
                </c:pt>
                <c:pt idx="63">
                  <c:v>56.19</c:v>
                </c:pt>
                <c:pt idx="64">
                  <c:v>56.19</c:v>
                </c:pt>
                <c:pt idx="65">
                  <c:v>56.19</c:v>
                </c:pt>
                <c:pt idx="66">
                  <c:v>56.13</c:v>
                </c:pt>
                <c:pt idx="67">
                  <c:v>56.13</c:v>
                </c:pt>
                <c:pt idx="68">
                  <c:v>56.06</c:v>
                </c:pt>
                <c:pt idx="69">
                  <c:v>56.06</c:v>
                </c:pt>
                <c:pt idx="70">
                  <c:v>56</c:v>
                </c:pt>
                <c:pt idx="71">
                  <c:v>55.94</c:v>
                </c:pt>
                <c:pt idx="72">
                  <c:v>55.88</c:v>
                </c:pt>
                <c:pt idx="73">
                  <c:v>55.88</c:v>
                </c:pt>
                <c:pt idx="74">
                  <c:v>55.81</c:v>
                </c:pt>
                <c:pt idx="75">
                  <c:v>55.81</c:v>
                </c:pt>
                <c:pt idx="76">
                  <c:v>55.44</c:v>
                </c:pt>
                <c:pt idx="77">
                  <c:v>54.56</c:v>
                </c:pt>
                <c:pt idx="78">
                  <c:v>53.44</c:v>
                </c:pt>
                <c:pt idx="79">
                  <c:v>52.5</c:v>
                </c:pt>
                <c:pt idx="80">
                  <c:v>51.56</c:v>
                </c:pt>
                <c:pt idx="81">
                  <c:v>50.63</c:v>
                </c:pt>
                <c:pt idx="82">
                  <c:v>49.69</c:v>
                </c:pt>
                <c:pt idx="83">
                  <c:v>48.88</c:v>
                </c:pt>
                <c:pt idx="84">
                  <c:v>48.06</c:v>
                </c:pt>
                <c:pt idx="85">
                  <c:v>47.31</c:v>
                </c:pt>
                <c:pt idx="86">
                  <c:v>46.56</c:v>
                </c:pt>
                <c:pt idx="87">
                  <c:v>45.88</c:v>
                </c:pt>
                <c:pt idx="88">
                  <c:v>45.13</c:v>
                </c:pt>
                <c:pt idx="89">
                  <c:v>44.44</c:v>
                </c:pt>
                <c:pt idx="90">
                  <c:v>43.75</c:v>
                </c:pt>
                <c:pt idx="91">
                  <c:v>43.13</c:v>
                </c:pt>
                <c:pt idx="92">
                  <c:v>42.5</c:v>
                </c:pt>
                <c:pt idx="93">
                  <c:v>41.88</c:v>
                </c:pt>
                <c:pt idx="94">
                  <c:v>41.31</c:v>
                </c:pt>
                <c:pt idx="95">
                  <c:v>40.69</c:v>
                </c:pt>
                <c:pt idx="96">
                  <c:v>40.19</c:v>
                </c:pt>
                <c:pt idx="97">
                  <c:v>39.69</c:v>
                </c:pt>
                <c:pt idx="98">
                  <c:v>39.25</c:v>
                </c:pt>
                <c:pt idx="99">
                  <c:v>38.75</c:v>
                </c:pt>
                <c:pt idx="100">
                  <c:v>38.31</c:v>
                </c:pt>
                <c:pt idx="101">
                  <c:v>37.81</c:v>
                </c:pt>
                <c:pt idx="102">
                  <c:v>37.380000000000003</c:v>
                </c:pt>
                <c:pt idx="103">
                  <c:v>36.880000000000003</c:v>
                </c:pt>
                <c:pt idx="104">
                  <c:v>36.44</c:v>
                </c:pt>
                <c:pt idx="105">
                  <c:v>36.06</c:v>
                </c:pt>
                <c:pt idx="106">
                  <c:v>35.69</c:v>
                </c:pt>
                <c:pt idx="107">
                  <c:v>35.31</c:v>
                </c:pt>
                <c:pt idx="108">
                  <c:v>35</c:v>
                </c:pt>
                <c:pt idx="109">
                  <c:v>34.69</c:v>
                </c:pt>
                <c:pt idx="110">
                  <c:v>34.380000000000003</c:v>
                </c:pt>
                <c:pt idx="111">
                  <c:v>34.06</c:v>
                </c:pt>
                <c:pt idx="112">
                  <c:v>33.75</c:v>
                </c:pt>
                <c:pt idx="113">
                  <c:v>33.44</c:v>
                </c:pt>
                <c:pt idx="114">
                  <c:v>33.130000000000003</c:v>
                </c:pt>
                <c:pt idx="115">
                  <c:v>32.880000000000003</c:v>
                </c:pt>
                <c:pt idx="116">
                  <c:v>32.56</c:v>
                </c:pt>
                <c:pt idx="117">
                  <c:v>32.31</c:v>
                </c:pt>
                <c:pt idx="118">
                  <c:v>32</c:v>
                </c:pt>
                <c:pt idx="119">
                  <c:v>31.75</c:v>
                </c:pt>
                <c:pt idx="120">
                  <c:v>31.44</c:v>
                </c:pt>
                <c:pt idx="121">
                  <c:v>31.19</c:v>
                </c:pt>
                <c:pt idx="122">
                  <c:v>30.94</c:v>
                </c:pt>
                <c:pt idx="123">
                  <c:v>30.75</c:v>
                </c:pt>
                <c:pt idx="124">
                  <c:v>30.5</c:v>
                </c:pt>
                <c:pt idx="125">
                  <c:v>30.25</c:v>
                </c:pt>
                <c:pt idx="126">
                  <c:v>30.06</c:v>
                </c:pt>
                <c:pt idx="127">
                  <c:v>29.81</c:v>
                </c:pt>
                <c:pt idx="128">
                  <c:v>29.69</c:v>
                </c:pt>
                <c:pt idx="129">
                  <c:v>29.44</c:v>
                </c:pt>
                <c:pt idx="130">
                  <c:v>29.25</c:v>
                </c:pt>
                <c:pt idx="131">
                  <c:v>29.06</c:v>
                </c:pt>
                <c:pt idx="132">
                  <c:v>28.87</c:v>
                </c:pt>
                <c:pt idx="133">
                  <c:v>28.75</c:v>
                </c:pt>
                <c:pt idx="134">
                  <c:v>28.56</c:v>
                </c:pt>
                <c:pt idx="135">
                  <c:v>28.37</c:v>
                </c:pt>
                <c:pt idx="136">
                  <c:v>28.25</c:v>
                </c:pt>
                <c:pt idx="137">
                  <c:v>28.06</c:v>
                </c:pt>
                <c:pt idx="138">
                  <c:v>27.94</c:v>
                </c:pt>
                <c:pt idx="139">
                  <c:v>27.75</c:v>
                </c:pt>
                <c:pt idx="140">
                  <c:v>27.62</c:v>
                </c:pt>
                <c:pt idx="141">
                  <c:v>27.5</c:v>
                </c:pt>
                <c:pt idx="142">
                  <c:v>27.37</c:v>
                </c:pt>
                <c:pt idx="143">
                  <c:v>27.31</c:v>
                </c:pt>
                <c:pt idx="144">
                  <c:v>27.19</c:v>
                </c:pt>
                <c:pt idx="145">
                  <c:v>27.06</c:v>
                </c:pt>
                <c:pt idx="146">
                  <c:v>26.94</c:v>
                </c:pt>
                <c:pt idx="147">
                  <c:v>26.81</c:v>
                </c:pt>
                <c:pt idx="148">
                  <c:v>26.75</c:v>
                </c:pt>
                <c:pt idx="149">
                  <c:v>26.62</c:v>
                </c:pt>
                <c:pt idx="150">
                  <c:v>26.5</c:v>
                </c:pt>
                <c:pt idx="151">
                  <c:v>26.44</c:v>
                </c:pt>
                <c:pt idx="152">
                  <c:v>26.31</c:v>
                </c:pt>
                <c:pt idx="153">
                  <c:v>26.19</c:v>
                </c:pt>
                <c:pt idx="154">
                  <c:v>26.12</c:v>
                </c:pt>
                <c:pt idx="155">
                  <c:v>26</c:v>
                </c:pt>
                <c:pt idx="156">
                  <c:v>25.94</c:v>
                </c:pt>
                <c:pt idx="157">
                  <c:v>25.81</c:v>
                </c:pt>
                <c:pt idx="158">
                  <c:v>25.75</c:v>
                </c:pt>
                <c:pt idx="159">
                  <c:v>25.62</c:v>
                </c:pt>
                <c:pt idx="160">
                  <c:v>25.56</c:v>
                </c:pt>
                <c:pt idx="161">
                  <c:v>25.5</c:v>
                </c:pt>
                <c:pt idx="162">
                  <c:v>25.44</c:v>
                </c:pt>
                <c:pt idx="163">
                  <c:v>25.31</c:v>
                </c:pt>
                <c:pt idx="164">
                  <c:v>25.25</c:v>
                </c:pt>
                <c:pt idx="165">
                  <c:v>25.19</c:v>
                </c:pt>
                <c:pt idx="166">
                  <c:v>25.06</c:v>
                </c:pt>
                <c:pt idx="167">
                  <c:v>25</c:v>
                </c:pt>
                <c:pt idx="168">
                  <c:v>24.87</c:v>
                </c:pt>
                <c:pt idx="169">
                  <c:v>24.81</c:v>
                </c:pt>
                <c:pt idx="170">
                  <c:v>24.69</c:v>
                </c:pt>
                <c:pt idx="171">
                  <c:v>24.56</c:v>
                </c:pt>
                <c:pt idx="172">
                  <c:v>24.5</c:v>
                </c:pt>
                <c:pt idx="173">
                  <c:v>24.44</c:v>
                </c:pt>
                <c:pt idx="174">
                  <c:v>24.31</c:v>
                </c:pt>
                <c:pt idx="175">
                  <c:v>24.25</c:v>
                </c:pt>
                <c:pt idx="176">
                  <c:v>24.19</c:v>
                </c:pt>
                <c:pt idx="177">
                  <c:v>24.12</c:v>
                </c:pt>
                <c:pt idx="178">
                  <c:v>24.06</c:v>
                </c:pt>
                <c:pt idx="179">
                  <c:v>24</c:v>
                </c:pt>
                <c:pt idx="180">
                  <c:v>23.94</c:v>
                </c:pt>
                <c:pt idx="181">
                  <c:v>23.87</c:v>
                </c:pt>
                <c:pt idx="182">
                  <c:v>23.81</c:v>
                </c:pt>
                <c:pt idx="183">
                  <c:v>23.75</c:v>
                </c:pt>
                <c:pt idx="184">
                  <c:v>23.69</c:v>
                </c:pt>
                <c:pt idx="185">
                  <c:v>23.62</c:v>
                </c:pt>
                <c:pt idx="186">
                  <c:v>23.56</c:v>
                </c:pt>
                <c:pt idx="187">
                  <c:v>23.5</c:v>
                </c:pt>
                <c:pt idx="188">
                  <c:v>23.5</c:v>
                </c:pt>
                <c:pt idx="189">
                  <c:v>23.44</c:v>
                </c:pt>
                <c:pt idx="190">
                  <c:v>23.44</c:v>
                </c:pt>
                <c:pt idx="191">
                  <c:v>23.37</c:v>
                </c:pt>
                <c:pt idx="192">
                  <c:v>23.31</c:v>
                </c:pt>
                <c:pt idx="193">
                  <c:v>23.31</c:v>
                </c:pt>
                <c:pt idx="194">
                  <c:v>23.25</c:v>
                </c:pt>
                <c:pt idx="195">
                  <c:v>23.25</c:v>
                </c:pt>
                <c:pt idx="196">
                  <c:v>23.19</c:v>
                </c:pt>
                <c:pt idx="197">
                  <c:v>23.19</c:v>
                </c:pt>
                <c:pt idx="198">
                  <c:v>23.12</c:v>
                </c:pt>
                <c:pt idx="199">
                  <c:v>23.12</c:v>
                </c:pt>
                <c:pt idx="200">
                  <c:v>23.06</c:v>
                </c:pt>
                <c:pt idx="201">
                  <c:v>23.06</c:v>
                </c:pt>
                <c:pt idx="202">
                  <c:v>23</c:v>
                </c:pt>
                <c:pt idx="203">
                  <c:v>23</c:v>
                </c:pt>
                <c:pt idx="204">
                  <c:v>22.94</c:v>
                </c:pt>
                <c:pt idx="205">
                  <c:v>22.94</c:v>
                </c:pt>
                <c:pt idx="206">
                  <c:v>22.87</c:v>
                </c:pt>
                <c:pt idx="207">
                  <c:v>22.87</c:v>
                </c:pt>
                <c:pt idx="208">
                  <c:v>22.81</c:v>
                </c:pt>
                <c:pt idx="209">
                  <c:v>22.81</c:v>
                </c:pt>
                <c:pt idx="210">
                  <c:v>22.75</c:v>
                </c:pt>
                <c:pt idx="211">
                  <c:v>22.75</c:v>
                </c:pt>
                <c:pt idx="212">
                  <c:v>22.75</c:v>
                </c:pt>
                <c:pt idx="213">
                  <c:v>22.69</c:v>
                </c:pt>
                <c:pt idx="214">
                  <c:v>22.69</c:v>
                </c:pt>
                <c:pt idx="215">
                  <c:v>22.62</c:v>
                </c:pt>
                <c:pt idx="216">
                  <c:v>22.62</c:v>
                </c:pt>
                <c:pt idx="217">
                  <c:v>22.56</c:v>
                </c:pt>
                <c:pt idx="218">
                  <c:v>22.56</c:v>
                </c:pt>
                <c:pt idx="219">
                  <c:v>22.56</c:v>
                </c:pt>
                <c:pt idx="220">
                  <c:v>22.56</c:v>
                </c:pt>
                <c:pt idx="221">
                  <c:v>22.5</c:v>
                </c:pt>
                <c:pt idx="222">
                  <c:v>22.5</c:v>
                </c:pt>
                <c:pt idx="223">
                  <c:v>22.5</c:v>
                </c:pt>
                <c:pt idx="224">
                  <c:v>22.44</c:v>
                </c:pt>
                <c:pt idx="225">
                  <c:v>22.44</c:v>
                </c:pt>
                <c:pt idx="226">
                  <c:v>22.37</c:v>
                </c:pt>
                <c:pt idx="227">
                  <c:v>22.37</c:v>
                </c:pt>
                <c:pt idx="228">
                  <c:v>22.37</c:v>
                </c:pt>
                <c:pt idx="229">
                  <c:v>22.37</c:v>
                </c:pt>
                <c:pt idx="230">
                  <c:v>22.37</c:v>
                </c:pt>
                <c:pt idx="231">
                  <c:v>22.31</c:v>
                </c:pt>
                <c:pt idx="232">
                  <c:v>22.31</c:v>
                </c:pt>
                <c:pt idx="233">
                  <c:v>22.31</c:v>
                </c:pt>
                <c:pt idx="234">
                  <c:v>22.31</c:v>
                </c:pt>
                <c:pt idx="235">
                  <c:v>22.25</c:v>
                </c:pt>
                <c:pt idx="236">
                  <c:v>22.25</c:v>
                </c:pt>
                <c:pt idx="237">
                  <c:v>22.25</c:v>
                </c:pt>
                <c:pt idx="238">
                  <c:v>22.25</c:v>
                </c:pt>
                <c:pt idx="239">
                  <c:v>22.25</c:v>
                </c:pt>
                <c:pt idx="240">
                  <c:v>22.25</c:v>
                </c:pt>
                <c:pt idx="241">
                  <c:v>22.25</c:v>
                </c:pt>
                <c:pt idx="242">
                  <c:v>22.25</c:v>
                </c:pt>
                <c:pt idx="243">
                  <c:v>22.25</c:v>
                </c:pt>
                <c:pt idx="244">
                  <c:v>22.25</c:v>
                </c:pt>
                <c:pt idx="245">
                  <c:v>22.25</c:v>
                </c:pt>
                <c:pt idx="246">
                  <c:v>22.25</c:v>
                </c:pt>
                <c:pt idx="247">
                  <c:v>22.25</c:v>
                </c:pt>
                <c:pt idx="248">
                  <c:v>22.25</c:v>
                </c:pt>
                <c:pt idx="249">
                  <c:v>22.25</c:v>
                </c:pt>
                <c:pt idx="250">
                  <c:v>22.25</c:v>
                </c:pt>
                <c:pt idx="251">
                  <c:v>22.25</c:v>
                </c:pt>
                <c:pt idx="252">
                  <c:v>22.19</c:v>
                </c:pt>
                <c:pt idx="253">
                  <c:v>22.25</c:v>
                </c:pt>
                <c:pt idx="254">
                  <c:v>22.25</c:v>
                </c:pt>
                <c:pt idx="255">
                  <c:v>22.25</c:v>
                </c:pt>
                <c:pt idx="256">
                  <c:v>22.19</c:v>
                </c:pt>
                <c:pt idx="257">
                  <c:v>22.19</c:v>
                </c:pt>
                <c:pt idx="258">
                  <c:v>22.19</c:v>
                </c:pt>
                <c:pt idx="259">
                  <c:v>22.19</c:v>
                </c:pt>
                <c:pt idx="260">
                  <c:v>22.19</c:v>
                </c:pt>
                <c:pt idx="261">
                  <c:v>22.12</c:v>
                </c:pt>
                <c:pt idx="262">
                  <c:v>22.12</c:v>
                </c:pt>
                <c:pt idx="263">
                  <c:v>22.12</c:v>
                </c:pt>
                <c:pt idx="264">
                  <c:v>22.12</c:v>
                </c:pt>
                <c:pt idx="265">
                  <c:v>22.06</c:v>
                </c:pt>
                <c:pt idx="266">
                  <c:v>22.12</c:v>
                </c:pt>
                <c:pt idx="267">
                  <c:v>22.12</c:v>
                </c:pt>
                <c:pt idx="268">
                  <c:v>22.12</c:v>
                </c:pt>
                <c:pt idx="269">
                  <c:v>22.06</c:v>
                </c:pt>
                <c:pt idx="270">
                  <c:v>22.06</c:v>
                </c:pt>
                <c:pt idx="271">
                  <c:v>22.06</c:v>
                </c:pt>
                <c:pt idx="272">
                  <c:v>22.12</c:v>
                </c:pt>
                <c:pt idx="273">
                  <c:v>22.12</c:v>
                </c:pt>
                <c:pt idx="274">
                  <c:v>22.12</c:v>
                </c:pt>
                <c:pt idx="275">
                  <c:v>22.12</c:v>
                </c:pt>
                <c:pt idx="276">
                  <c:v>22.12</c:v>
                </c:pt>
                <c:pt idx="277">
                  <c:v>22.19</c:v>
                </c:pt>
                <c:pt idx="278">
                  <c:v>22.25</c:v>
                </c:pt>
                <c:pt idx="279">
                  <c:v>22.25</c:v>
                </c:pt>
                <c:pt idx="280">
                  <c:v>22.25</c:v>
                </c:pt>
                <c:pt idx="281">
                  <c:v>22.25</c:v>
                </c:pt>
                <c:pt idx="282">
                  <c:v>22.25</c:v>
                </c:pt>
                <c:pt idx="283">
                  <c:v>22.31</c:v>
                </c:pt>
                <c:pt idx="284">
                  <c:v>22.31</c:v>
                </c:pt>
                <c:pt idx="285">
                  <c:v>22.31</c:v>
                </c:pt>
                <c:pt idx="286">
                  <c:v>22.31</c:v>
                </c:pt>
                <c:pt idx="287">
                  <c:v>22.31</c:v>
                </c:pt>
                <c:pt idx="288">
                  <c:v>22.31</c:v>
                </c:pt>
                <c:pt idx="289">
                  <c:v>22.31</c:v>
                </c:pt>
                <c:pt idx="290">
                  <c:v>22.25</c:v>
                </c:pt>
                <c:pt idx="291">
                  <c:v>22.31</c:v>
                </c:pt>
                <c:pt idx="292">
                  <c:v>22.25</c:v>
                </c:pt>
                <c:pt idx="293">
                  <c:v>22.25</c:v>
                </c:pt>
                <c:pt idx="294">
                  <c:v>22.25</c:v>
                </c:pt>
                <c:pt idx="295">
                  <c:v>22.19</c:v>
                </c:pt>
                <c:pt idx="296">
                  <c:v>22.19</c:v>
                </c:pt>
                <c:pt idx="297">
                  <c:v>22.19</c:v>
                </c:pt>
                <c:pt idx="298">
                  <c:v>22.12</c:v>
                </c:pt>
                <c:pt idx="299">
                  <c:v>22.12</c:v>
                </c:pt>
                <c:pt idx="300">
                  <c:v>22.12</c:v>
                </c:pt>
                <c:pt idx="301">
                  <c:v>22.06</c:v>
                </c:pt>
                <c:pt idx="302">
                  <c:v>22.06</c:v>
                </c:pt>
                <c:pt idx="303">
                  <c:v>22.06</c:v>
                </c:pt>
                <c:pt idx="304">
                  <c:v>22.06</c:v>
                </c:pt>
                <c:pt idx="305">
                  <c:v>22.06</c:v>
                </c:pt>
                <c:pt idx="306">
                  <c:v>22.06</c:v>
                </c:pt>
                <c:pt idx="307">
                  <c:v>22.06</c:v>
                </c:pt>
                <c:pt idx="308">
                  <c:v>22</c:v>
                </c:pt>
                <c:pt idx="309">
                  <c:v>22.06</c:v>
                </c:pt>
                <c:pt idx="310">
                  <c:v>22.06</c:v>
                </c:pt>
                <c:pt idx="311">
                  <c:v>22.06</c:v>
                </c:pt>
                <c:pt idx="312">
                  <c:v>22</c:v>
                </c:pt>
                <c:pt idx="313">
                  <c:v>22.06</c:v>
                </c:pt>
                <c:pt idx="314">
                  <c:v>22</c:v>
                </c:pt>
                <c:pt idx="315">
                  <c:v>22.06</c:v>
                </c:pt>
                <c:pt idx="316">
                  <c:v>22.06</c:v>
                </c:pt>
                <c:pt idx="317">
                  <c:v>22</c:v>
                </c:pt>
                <c:pt idx="318">
                  <c:v>22.06</c:v>
                </c:pt>
                <c:pt idx="319">
                  <c:v>22</c:v>
                </c:pt>
                <c:pt idx="320">
                  <c:v>22</c:v>
                </c:pt>
                <c:pt idx="321">
                  <c:v>22</c:v>
                </c:pt>
                <c:pt idx="322">
                  <c:v>22</c:v>
                </c:pt>
                <c:pt idx="323">
                  <c:v>22</c:v>
                </c:pt>
                <c:pt idx="324">
                  <c:v>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C34-46A4-A3EA-612C381776BB}"/>
            </c:ext>
          </c:extLst>
        </c:ser>
        <c:ser>
          <c:idx val="1"/>
          <c:order val="1"/>
          <c:tx>
            <c:v>Cooling Response Curve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3"/>
            <c:spPr>
              <a:noFill/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Sheet1!$A$79:$A$403</c:f>
              <c:numCache>
                <c:formatCode>General</c:formatCode>
                <c:ptCount val="3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</c:numCache>
            </c:numRef>
          </c:xVal>
          <c:yVal>
            <c:numRef>
              <c:f>Sheet1!$C$79:$C$403</c:f>
              <c:numCache>
                <c:formatCode>General</c:formatCode>
                <c:ptCount val="325"/>
                <c:pt idx="0">
                  <c:v>21.31</c:v>
                </c:pt>
                <c:pt idx="1">
                  <c:v>18.62</c:v>
                </c:pt>
                <c:pt idx="2">
                  <c:v>14.56</c:v>
                </c:pt>
                <c:pt idx="3">
                  <c:v>12.75</c:v>
                </c:pt>
                <c:pt idx="4">
                  <c:v>11.69</c:v>
                </c:pt>
                <c:pt idx="5">
                  <c:v>11</c:v>
                </c:pt>
                <c:pt idx="6">
                  <c:v>10.44</c:v>
                </c:pt>
                <c:pt idx="7">
                  <c:v>9.94</c:v>
                </c:pt>
                <c:pt idx="8">
                  <c:v>9.56</c:v>
                </c:pt>
                <c:pt idx="9">
                  <c:v>9.19</c:v>
                </c:pt>
                <c:pt idx="10">
                  <c:v>8.94</c:v>
                </c:pt>
                <c:pt idx="11">
                  <c:v>8.69</c:v>
                </c:pt>
                <c:pt idx="12">
                  <c:v>8.44</c:v>
                </c:pt>
                <c:pt idx="13">
                  <c:v>8.25</c:v>
                </c:pt>
                <c:pt idx="14">
                  <c:v>8.06</c:v>
                </c:pt>
                <c:pt idx="15">
                  <c:v>7.88</c:v>
                </c:pt>
                <c:pt idx="16">
                  <c:v>7.75</c:v>
                </c:pt>
                <c:pt idx="17">
                  <c:v>7.56</c:v>
                </c:pt>
                <c:pt idx="18">
                  <c:v>7.44</c:v>
                </c:pt>
                <c:pt idx="19">
                  <c:v>7.31</c:v>
                </c:pt>
                <c:pt idx="20">
                  <c:v>7.25</c:v>
                </c:pt>
                <c:pt idx="21">
                  <c:v>7.13</c:v>
                </c:pt>
                <c:pt idx="22">
                  <c:v>7</c:v>
                </c:pt>
                <c:pt idx="23">
                  <c:v>6.94</c:v>
                </c:pt>
                <c:pt idx="24">
                  <c:v>6.81</c:v>
                </c:pt>
                <c:pt idx="25">
                  <c:v>6.75</c:v>
                </c:pt>
                <c:pt idx="26">
                  <c:v>6.69</c:v>
                </c:pt>
                <c:pt idx="27">
                  <c:v>6.63</c:v>
                </c:pt>
                <c:pt idx="28">
                  <c:v>6.56</c:v>
                </c:pt>
                <c:pt idx="29">
                  <c:v>6.5</c:v>
                </c:pt>
                <c:pt idx="30">
                  <c:v>6.44</c:v>
                </c:pt>
                <c:pt idx="31">
                  <c:v>6.38</c:v>
                </c:pt>
                <c:pt idx="32">
                  <c:v>6.31</c:v>
                </c:pt>
                <c:pt idx="33">
                  <c:v>6.25</c:v>
                </c:pt>
                <c:pt idx="34">
                  <c:v>6.19</c:v>
                </c:pt>
                <c:pt idx="35">
                  <c:v>6.19</c:v>
                </c:pt>
                <c:pt idx="36">
                  <c:v>6.13</c:v>
                </c:pt>
                <c:pt idx="37">
                  <c:v>6.06</c:v>
                </c:pt>
                <c:pt idx="38">
                  <c:v>6.06</c:v>
                </c:pt>
                <c:pt idx="39">
                  <c:v>6</c:v>
                </c:pt>
                <c:pt idx="40">
                  <c:v>6</c:v>
                </c:pt>
                <c:pt idx="41">
                  <c:v>5.94</c:v>
                </c:pt>
                <c:pt idx="42">
                  <c:v>5.94</c:v>
                </c:pt>
                <c:pt idx="43">
                  <c:v>5.88</c:v>
                </c:pt>
                <c:pt idx="44">
                  <c:v>5.88</c:v>
                </c:pt>
                <c:pt idx="45">
                  <c:v>5.88</c:v>
                </c:pt>
                <c:pt idx="46">
                  <c:v>5.81</c:v>
                </c:pt>
                <c:pt idx="47">
                  <c:v>5.81</c:v>
                </c:pt>
                <c:pt idx="48">
                  <c:v>5.75</c:v>
                </c:pt>
                <c:pt idx="49">
                  <c:v>5.75</c:v>
                </c:pt>
                <c:pt idx="50">
                  <c:v>5.69</c:v>
                </c:pt>
                <c:pt idx="51">
                  <c:v>5.75</c:v>
                </c:pt>
                <c:pt idx="52">
                  <c:v>5.69</c:v>
                </c:pt>
                <c:pt idx="53">
                  <c:v>5.69</c:v>
                </c:pt>
                <c:pt idx="54">
                  <c:v>5.69</c:v>
                </c:pt>
                <c:pt idx="55">
                  <c:v>5.69</c:v>
                </c:pt>
                <c:pt idx="56">
                  <c:v>5.69</c:v>
                </c:pt>
                <c:pt idx="57">
                  <c:v>5.69</c:v>
                </c:pt>
                <c:pt idx="58">
                  <c:v>5.69</c:v>
                </c:pt>
                <c:pt idx="59">
                  <c:v>5.69</c:v>
                </c:pt>
                <c:pt idx="60">
                  <c:v>5.69</c:v>
                </c:pt>
                <c:pt idx="61">
                  <c:v>5.69</c:v>
                </c:pt>
                <c:pt idx="62">
                  <c:v>5.69</c:v>
                </c:pt>
                <c:pt idx="63">
                  <c:v>5.75</c:v>
                </c:pt>
                <c:pt idx="64">
                  <c:v>5.75</c:v>
                </c:pt>
                <c:pt idx="65">
                  <c:v>5.75</c:v>
                </c:pt>
                <c:pt idx="66">
                  <c:v>5.75</c:v>
                </c:pt>
                <c:pt idx="67">
                  <c:v>5.81</c:v>
                </c:pt>
                <c:pt idx="68">
                  <c:v>5.81</c:v>
                </c:pt>
                <c:pt idx="69">
                  <c:v>5.81</c:v>
                </c:pt>
                <c:pt idx="70">
                  <c:v>5.81</c:v>
                </c:pt>
                <c:pt idx="71">
                  <c:v>5.81</c:v>
                </c:pt>
                <c:pt idx="72">
                  <c:v>5.81</c:v>
                </c:pt>
                <c:pt idx="73">
                  <c:v>5.81</c:v>
                </c:pt>
                <c:pt idx="74">
                  <c:v>5.81</c:v>
                </c:pt>
                <c:pt idx="75">
                  <c:v>5.88</c:v>
                </c:pt>
                <c:pt idx="76">
                  <c:v>5.88</c:v>
                </c:pt>
                <c:pt idx="77">
                  <c:v>5.88</c:v>
                </c:pt>
                <c:pt idx="78">
                  <c:v>5.75</c:v>
                </c:pt>
                <c:pt idx="79">
                  <c:v>5.75</c:v>
                </c:pt>
                <c:pt idx="80">
                  <c:v>5.75</c:v>
                </c:pt>
                <c:pt idx="81">
                  <c:v>5.75</c:v>
                </c:pt>
                <c:pt idx="82">
                  <c:v>5.75</c:v>
                </c:pt>
                <c:pt idx="83">
                  <c:v>5.75</c:v>
                </c:pt>
                <c:pt idx="84">
                  <c:v>5.75</c:v>
                </c:pt>
                <c:pt idx="85">
                  <c:v>5.75</c:v>
                </c:pt>
                <c:pt idx="86">
                  <c:v>5.75</c:v>
                </c:pt>
                <c:pt idx="87">
                  <c:v>5.75</c:v>
                </c:pt>
                <c:pt idx="88">
                  <c:v>5.75</c:v>
                </c:pt>
                <c:pt idx="89">
                  <c:v>5.81</c:v>
                </c:pt>
                <c:pt idx="90">
                  <c:v>5.81</c:v>
                </c:pt>
                <c:pt idx="91">
                  <c:v>5.81</c:v>
                </c:pt>
                <c:pt idx="92">
                  <c:v>5.81</c:v>
                </c:pt>
                <c:pt idx="93">
                  <c:v>5.81</c:v>
                </c:pt>
                <c:pt idx="94">
                  <c:v>5.81</c:v>
                </c:pt>
                <c:pt idx="95">
                  <c:v>5.81</c:v>
                </c:pt>
                <c:pt idx="96">
                  <c:v>5.81</c:v>
                </c:pt>
                <c:pt idx="97">
                  <c:v>5.81</c:v>
                </c:pt>
                <c:pt idx="98">
                  <c:v>5.81</c:v>
                </c:pt>
                <c:pt idx="99">
                  <c:v>5.81</c:v>
                </c:pt>
                <c:pt idx="100">
                  <c:v>5.81</c:v>
                </c:pt>
                <c:pt idx="101">
                  <c:v>5.88</c:v>
                </c:pt>
                <c:pt idx="102">
                  <c:v>5.88</c:v>
                </c:pt>
                <c:pt idx="103">
                  <c:v>5.88</c:v>
                </c:pt>
                <c:pt idx="104">
                  <c:v>5.88</c:v>
                </c:pt>
                <c:pt idx="105">
                  <c:v>5.88</c:v>
                </c:pt>
                <c:pt idx="106">
                  <c:v>5.94</c:v>
                </c:pt>
                <c:pt idx="107">
                  <c:v>5.94</c:v>
                </c:pt>
                <c:pt idx="108">
                  <c:v>5.94</c:v>
                </c:pt>
                <c:pt idx="109">
                  <c:v>5.94</c:v>
                </c:pt>
                <c:pt idx="110">
                  <c:v>6</c:v>
                </c:pt>
                <c:pt idx="111">
                  <c:v>5.94</c:v>
                </c:pt>
                <c:pt idx="112">
                  <c:v>6</c:v>
                </c:pt>
                <c:pt idx="113">
                  <c:v>6</c:v>
                </c:pt>
                <c:pt idx="114">
                  <c:v>5.94</c:v>
                </c:pt>
                <c:pt idx="115">
                  <c:v>5.94</c:v>
                </c:pt>
                <c:pt idx="116">
                  <c:v>5.94</c:v>
                </c:pt>
                <c:pt idx="117">
                  <c:v>5.94</c:v>
                </c:pt>
                <c:pt idx="118">
                  <c:v>5.94</c:v>
                </c:pt>
                <c:pt idx="119">
                  <c:v>5.88</c:v>
                </c:pt>
                <c:pt idx="120">
                  <c:v>5.88</c:v>
                </c:pt>
                <c:pt idx="121">
                  <c:v>5.88</c:v>
                </c:pt>
                <c:pt idx="122">
                  <c:v>5.88</c:v>
                </c:pt>
                <c:pt idx="123">
                  <c:v>5.88</c:v>
                </c:pt>
                <c:pt idx="124">
                  <c:v>5.81</c:v>
                </c:pt>
                <c:pt idx="125">
                  <c:v>5.88</c:v>
                </c:pt>
                <c:pt idx="126">
                  <c:v>5.88</c:v>
                </c:pt>
                <c:pt idx="127">
                  <c:v>5.88</c:v>
                </c:pt>
                <c:pt idx="128">
                  <c:v>5.94</c:v>
                </c:pt>
                <c:pt idx="129">
                  <c:v>6.31</c:v>
                </c:pt>
                <c:pt idx="130">
                  <c:v>6.69</c:v>
                </c:pt>
                <c:pt idx="131">
                  <c:v>7</c:v>
                </c:pt>
                <c:pt idx="132">
                  <c:v>7.31</c:v>
                </c:pt>
                <c:pt idx="133">
                  <c:v>7.56</c:v>
                </c:pt>
                <c:pt idx="134">
                  <c:v>7.88</c:v>
                </c:pt>
                <c:pt idx="135">
                  <c:v>8.1300000000000008</c:v>
                </c:pt>
                <c:pt idx="136">
                  <c:v>8.3800000000000008</c:v>
                </c:pt>
                <c:pt idx="137">
                  <c:v>8.6300000000000008</c:v>
                </c:pt>
                <c:pt idx="138">
                  <c:v>8.94</c:v>
                </c:pt>
                <c:pt idx="139">
                  <c:v>9.1300000000000008</c:v>
                </c:pt>
                <c:pt idx="140">
                  <c:v>9.31</c:v>
                </c:pt>
                <c:pt idx="141">
                  <c:v>9.81</c:v>
                </c:pt>
                <c:pt idx="142">
                  <c:v>10.63</c:v>
                </c:pt>
                <c:pt idx="143">
                  <c:v>11</c:v>
                </c:pt>
                <c:pt idx="144">
                  <c:v>11.19</c:v>
                </c:pt>
                <c:pt idx="145">
                  <c:v>11.44</c:v>
                </c:pt>
                <c:pt idx="146">
                  <c:v>11.63</c:v>
                </c:pt>
                <c:pt idx="147">
                  <c:v>11.81</c:v>
                </c:pt>
                <c:pt idx="148">
                  <c:v>12</c:v>
                </c:pt>
                <c:pt idx="149">
                  <c:v>12.13</c:v>
                </c:pt>
                <c:pt idx="150">
                  <c:v>12.31</c:v>
                </c:pt>
                <c:pt idx="151">
                  <c:v>12.5</c:v>
                </c:pt>
                <c:pt idx="152">
                  <c:v>12.63</c:v>
                </c:pt>
                <c:pt idx="153">
                  <c:v>12.81</c:v>
                </c:pt>
                <c:pt idx="154">
                  <c:v>12.94</c:v>
                </c:pt>
                <c:pt idx="155">
                  <c:v>13.13</c:v>
                </c:pt>
                <c:pt idx="156">
                  <c:v>13.25</c:v>
                </c:pt>
                <c:pt idx="157">
                  <c:v>13.38</c:v>
                </c:pt>
                <c:pt idx="158">
                  <c:v>13.5</c:v>
                </c:pt>
                <c:pt idx="159">
                  <c:v>13.63</c:v>
                </c:pt>
                <c:pt idx="160">
                  <c:v>13.75</c:v>
                </c:pt>
                <c:pt idx="161">
                  <c:v>13.88</c:v>
                </c:pt>
                <c:pt idx="162">
                  <c:v>14.06</c:v>
                </c:pt>
                <c:pt idx="163">
                  <c:v>14.19</c:v>
                </c:pt>
                <c:pt idx="164">
                  <c:v>14.31</c:v>
                </c:pt>
                <c:pt idx="165">
                  <c:v>14.44</c:v>
                </c:pt>
                <c:pt idx="166">
                  <c:v>14.56</c:v>
                </c:pt>
                <c:pt idx="167">
                  <c:v>14.69</c:v>
                </c:pt>
                <c:pt idx="168">
                  <c:v>14.81</c:v>
                </c:pt>
                <c:pt idx="169">
                  <c:v>14.88</c:v>
                </c:pt>
                <c:pt idx="170">
                  <c:v>15</c:v>
                </c:pt>
                <c:pt idx="171">
                  <c:v>15.06</c:v>
                </c:pt>
                <c:pt idx="172">
                  <c:v>15.19</c:v>
                </c:pt>
                <c:pt idx="173">
                  <c:v>15.31</c:v>
                </c:pt>
                <c:pt idx="174">
                  <c:v>15.38</c:v>
                </c:pt>
                <c:pt idx="175">
                  <c:v>15.44</c:v>
                </c:pt>
                <c:pt idx="176">
                  <c:v>15.5</c:v>
                </c:pt>
                <c:pt idx="177">
                  <c:v>15.63</c:v>
                </c:pt>
                <c:pt idx="178">
                  <c:v>15.69</c:v>
                </c:pt>
                <c:pt idx="179">
                  <c:v>15.81</c:v>
                </c:pt>
                <c:pt idx="180">
                  <c:v>15.88</c:v>
                </c:pt>
                <c:pt idx="181">
                  <c:v>15.94</c:v>
                </c:pt>
                <c:pt idx="182">
                  <c:v>16</c:v>
                </c:pt>
                <c:pt idx="183">
                  <c:v>16.059999999999999</c:v>
                </c:pt>
                <c:pt idx="184">
                  <c:v>16.12</c:v>
                </c:pt>
                <c:pt idx="185">
                  <c:v>16.25</c:v>
                </c:pt>
                <c:pt idx="186">
                  <c:v>16.309999999999999</c:v>
                </c:pt>
                <c:pt idx="187">
                  <c:v>16.37</c:v>
                </c:pt>
                <c:pt idx="188">
                  <c:v>16.440000000000001</c:v>
                </c:pt>
                <c:pt idx="189">
                  <c:v>16.559999999999999</c:v>
                </c:pt>
                <c:pt idx="190">
                  <c:v>16.62</c:v>
                </c:pt>
                <c:pt idx="191">
                  <c:v>16.690000000000001</c:v>
                </c:pt>
                <c:pt idx="192">
                  <c:v>16.75</c:v>
                </c:pt>
                <c:pt idx="193">
                  <c:v>16.75</c:v>
                </c:pt>
                <c:pt idx="194">
                  <c:v>16.87</c:v>
                </c:pt>
                <c:pt idx="195">
                  <c:v>16.940000000000001</c:v>
                </c:pt>
                <c:pt idx="196">
                  <c:v>17</c:v>
                </c:pt>
                <c:pt idx="197">
                  <c:v>17.059999999999999</c:v>
                </c:pt>
                <c:pt idx="198">
                  <c:v>17.12</c:v>
                </c:pt>
                <c:pt idx="199">
                  <c:v>17.12</c:v>
                </c:pt>
                <c:pt idx="200">
                  <c:v>17.25</c:v>
                </c:pt>
                <c:pt idx="201">
                  <c:v>17.309999999999999</c:v>
                </c:pt>
                <c:pt idx="202">
                  <c:v>17.309999999999999</c:v>
                </c:pt>
                <c:pt idx="203">
                  <c:v>17.37</c:v>
                </c:pt>
                <c:pt idx="204">
                  <c:v>17.5</c:v>
                </c:pt>
                <c:pt idx="205">
                  <c:v>17.5</c:v>
                </c:pt>
                <c:pt idx="206">
                  <c:v>17.559999999999999</c:v>
                </c:pt>
                <c:pt idx="207">
                  <c:v>17.62</c:v>
                </c:pt>
                <c:pt idx="208">
                  <c:v>17.62</c:v>
                </c:pt>
                <c:pt idx="209">
                  <c:v>17.690000000000001</c:v>
                </c:pt>
                <c:pt idx="210">
                  <c:v>17.75</c:v>
                </c:pt>
                <c:pt idx="211">
                  <c:v>17.809999999999999</c:v>
                </c:pt>
                <c:pt idx="212">
                  <c:v>17.87</c:v>
                </c:pt>
                <c:pt idx="213">
                  <c:v>17.940000000000001</c:v>
                </c:pt>
                <c:pt idx="214">
                  <c:v>17.940000000000001</c:v>
                </c:pt>
                <c:pt idx="215">
                  <c:v>18</c:v>
                </c:pt>
                <c:pt idx="216">
                  <c:v>18.059999999999999</c:v>
                </c:pt>
                <c:pt idx="217">
                  <c:v>18.12</c:v>
                </c:pt>
                <c:pt idx="218">
                  <c:v>18.12</c:v>
                </c:pt>
                <c:pt idx="219">
                  <c:v>18.190000000000001</c:v>
                </c:pt>
                <c:pt idx="220">
                  <c:v>18.190000000000001</c:v>
                </c:pt>
                <c:pt idx="221">
                  <c:v>18.309999999999999</c:v>
                </c:pt>
                <c:pt idx="222">
                  <c:v>18.309999999999999</c:v>
                </c:pt>
                <c:pt idx="223">
                  <c:v>18.37</c:v>
                </c:pt>
                <c:pt idx="224">
                  <c:v>18.440000000000001</c:v>
                </c:pt>
                <c:pt idx="225">
                  <c:v>18.440000000000001</c:v>
                </c:pt>
                <c:pt idx="226">
                  <c:v>18.559999999999999</c:v>
                </c:pt>
                <c:pt idx="227">
                  <c:v>18.559999999999999</c:v>
                </c:pt>
                <c:pt idx="228">
                  <c:v>18.559999999999999</c:v>
                </c:pt>
                <c:pt idx="229">
                  <c:v>18.62</c:v>
                </c:pt>
                <c:pt idx="230">
                  <c:v>18.690000000000001</c:v>
                </c:pt>
                <c:pt idx="231">
                  <c:v>18.690000000000001</c:v>
                </c:pt>
                <c:pt idx="232">
                  <c:v>18.75</c:v>
                </c:pt>
                <c:pt idx="233">
                  <c:v>18.809999999999999</c:v>
                </c:pt>
                <c:pt idx="234">
                  <c:v>18.809999999999999</c:v>
                </c:pt>
                <c:pt idx="235">
                  <c:v>18.87</c:v>
                </c:pt>
                <c:pt idx="236">
                  <c:v>18.940000000000001</c:v>
                </c:pt>
                <c:pt idx="237">
                  <c:v>18.940000000000001</c:v>
                </c:pt>
                <c:pt idx="238">
                  <c:v>19</c:v>
                </c:pt>
                <c:pt idx="239">
                  <c:v>19</c:v>
                </c:pt>
                <c:pt idx="240">
                  <c:v>19.059999999999999</c:v>
                </c:pt>
                <c:pt idx="241">
                  <c:v>19.12</c:v>
                </c:pt>
                <c:pt idx="242">
                  <c:v>19.12</c:v>
                </c:pt>
                <c:pt idx="243">
                  <c:v>19.190000000000001</c:v>
                </c:pt>
                <c:pt idx="244">
                  <c:v>19.25</c:v>
                </c:pt>
                <c:pt idx="245">
                  <c:v>19.25</c:v>
                </c:pt>
                <c:pt idx="246">
                  <c:v>19.309999999999999</c:v>
                </c:pt>
                <c:pt idx="247">
                  <c:v>19.37</c:v>
                </c:pt>
                <c:pt idx="248">
                  <c:v>19.37</c:v>
                </c:pt>
                <c:pt idx="249">
                  <c:v>19.440000000000001</c:v>
                </c:pt>
                <c:pt idx="250">
                  <c:v>19.5</c:v>
                </c:pt>
                <c:pt idx="251">
                  <c:v>19.559999999999999</c:v>
                </c:pt>
                <c:pt idx="252">
                  <c:v>19.559999999999999</c:v>
                </c:pt>
                <c:pt idx="253">
                  <c:v>19.62</c:v>
                </c:pt>
                <c:pt idx="254">
                  <c:v>19.690000000000001</c:v>
                </c:pt>
                <c:pt idx="255">
                  <c:v>19.690000000000001</c:v>
                </c:pt>
                <c:pt idx="256">
                  <c:v>19.75</c:v>
                </c:pt>
                <c:pt idx="257">
                  <c:v>19.75</c:v>
                </c:pt>
                <c:pt idx="258">
                  <c:v>19.809999999999999</c:v>
                </c:pt>
                <c:pt idx="259">
                  <c:v>19.809999999999999</c:v>
                </c:pt>
                <c:pt idx="260">
                  <c:v>19.87</c:v>
                </c:pt>
                <c:pt idx="261">
                  <c:v>19.87</c:v>
                </c:pt>
                <c:pt idx="262">
                  <c:v>19.87</c:v>
                </c:pt>
                <c:pt idx="263">
                  <c:v>19.940000000000001</c:v>
                </c:pt>
                <c:pt idx="264">
                  <c:v>19.940000000000001</c:v>
                </c:pt>
                <c:pt idx="265">
                  <c:v>19.940000000000001</c:v>
                </c:pt>
                <c:pt idx="266">
                  <c:v>20</c:v>
                </c:pt>
                <c:pt idx="267">
                  <c:v>20</c:v>
                </c:pt>
                <c:pt idx="268">
                  <c:v>20.059999999999999</c:v>
                </c:pt>
                <c:pt idx="269">
                  <c:v>20.059999999999999</c:v>
                </c:pt>
                <c:pt idx="270">
                  <c:v>20.059999999999999</c:v>
                </c:pt>
                <c:pt idx="271">
                  <c:v>20.059999999999999</c:v>
                </c:pt>
                <c:pt idx="272">
                  <c:v>20.12</c:v>
                </c:pt>
                <c:pt idx="273">
                  <c:v>20.12</c:v>
                </c:pt>
                <c:pt idx="274">
                  <c:v>20.12</c:v>
                </c:pt>
                <c:pt idx="275">
                  <c:v>20.190000000000001</c:v>
                </c:pt>
                <c:pt idx="276">
                  <c:v>20.190000000000001</c:v>
                </c:pt>
                <c:pt idx="277">
                  <c:v>20.190000000000001</c:v>
                </c:pt>
                <c:pt idx="278">
                  <c:v>20.25</c:v>
                </c:pt>
                <c:pt idx="279">
                  <c:v>20.25</c:v>
                </c:pt>
                <c:pt idx="280">
                  <c:v>20.309999999999999</c:v>
                </c:pt>
                <c:pt idx="281">
                  <c:v>20.309999999999999</c:v>
                </c:pt>
                <c:pt idx="282">
                  <c:v>20.309999999999999</c:v>
                </c:pt>
                <c:pt idx="283">
                  <c:v>20.309999999999999</c:v>
                </c:pt>
                <c:pt idx="284">
                  <c:v>20.37</c:v>
                </c:pt>
                <c:pt idx="285">
                  <c:v>20.37</c:v>
                </c:pt>
                <c:pt idx="286">
                  <c:v>20.37</c:v>
                </c:pt>
                <c:pt idx="287">
                  <c:v>20.440000000000001</c:v>
                </c:pt>
                <c:pt idx="288">
                  <c:v>20.440000000000001</c:v>
                </c:pt>
                <c:pt idx="289">
                  <c:v>20.440000000000001</c:v>
                </c:pt>
                <c:pt idx="290">
                  <c:v>20.440000000000001</c:v>
                </c:pt>
                <c:pt idx="291">
                  <c:v>20.5</c:v>
                </c:pt>
                <c:pt idx="292">
                  <c:v>20.5</c:v>
                </c:pt>
                <c:pt idx="293">
                  <c:v>20.5</c:v>
                </c:pt>
                <c:pt idx="294">
                  <c:v>20.56</c:v>
                </c:pt>
                <c:pt idx="295">
                  <c:v>20.56</c:v>
                </c:pt>
                <c:pt idx="296">
                  <c:v>20.56</c:v>
                </c:pt>
                <c:pt idx="297">
                  <c:v>20.62</c:v>
                </c:pt>
                <c:pt idx="298">
                  <c:v>20.56</c:v>
                </c:pt>
                <c:pt idx="299">
                  <c:v>20.62</c:v>
                </c:pt>
                <c:pt idx="300">
                  <c:v>20.62</c:v>
                </c:pt>
                <c:pt idx="301">
                  <c:v>20.69</c:v>
                </c:pt>
                <c:pt idx="302">
                  <c:v>20.69</c:v>
                </c:pt>
                <c:pt idx="303">
                  <c:v>20.69</c:v>
                </c:pt>
                <c:pt idx="304">
                  <c:v>20.69</c:v>
                </c:pt>
                <c:pt idx="305">
                  <c:v>20.69</c:v>
                </c:pt>
                <c:pt idx="306">
                  <c:v>20.75</c:v>
                </c:pt>
                <c:pt idx="307">
                  <c:v>20.75</c:v>
                </c:pt>
                <c:pt idx="308">
                  <c:v>20.75</c:v>
                </c:pt>
                <c:pt idx="309">
                  <c:v>20.75</c:v>
                </c:pt>
                <c:pt idx="310">
                  <c:v>20.81</c:v>
                </c:pt>
                <c:pt idx="311">
                  <c:v>20.81</c:v>
                </c:pt>
                <c:pt idx="312">
                  <c:v>20.81</c:v>
                </c:pt>
                <c:pt idx="313">
                  <c:v>20.81</c:v>
                </c:pt>
                <c:pt idx="314">
                  <c:v>20.81</c:v>
                </c:pt>
                <c:pt idx="315">
                  <c:v>20.87</c:v>
                </c:pt>
                <c:pt idx="316">
                  <c:v>20.87</c:v>
                </c:pt>
                <c:pt idx="317">
                  <c:v>20.87</c:v>
                </c:pt>
                <c:pt idx="318">
                  <c:v>20.94</c:v>
                </c:pt>
                <c:pt idx="319">
                  <c:v>20.94</c:v>
                </c:pt>
                <c:pt idx="320">
                  <c:v>20.94</c:v>
                </c:pt>
                <c:pt idx="321">
                  <c:v>20.94</c:v>
                </c:pt>
                <c:pt idx="322">
                  <c:v>20.94</c:v>
                </c:pt>
                <c:pt idx="323">
                  <c:v>21</c:v>
                </c:pt>
                <c:pt idx="324">
                  <c:v>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C34-46A4-A3EA-612C381776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5974239"/>
        <c:axId val="1135970399"/>
      </c:scatterChart>
      <c:valAx>
        <c:axId val="1135974239"/>
        <c:scaling>
          <c:orientation val="minMax"/>
          <c:max val="32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5970399"/>
        <c:crosses val="autoZero"/>
        <c:crossBetween val="midCat"/>
      </c:valAx>
      <c:valAx>
        <c:axId val="1135970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Temperature (°C)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5974239"/>
        <c:crosses val="autoZero"/>
        <c:crossBetween val="midCat"/>
        <c:majorUnit val="10"/>
        <c:minorUnit val="5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Sensor</a:t>
            </a:r>
            <a:r>
              <a:rPr lang="en-GB" baseline="0"/>
              <a:t> Output Stability 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Low Temp (8°C) Stability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Sheet1!$AC$82:$AC$482</c:f>
              <c:numCache>
                <c:formatCode>General</c:formatCode>
                <c:ptCount val="4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</c:numCache>
            </c:numRef>
          </c:xVal>
          <c:yVal>
            <c:numRef>
              <c:f>Sheet1!$AF$82:$AF$482</c:f>
              <c:numCache>
                <c:formatCode>General</c:formatCode>
                <c:ptCount val="401"/>
                <c:pt idx="0">
                  <c:v>7.2824742268017495E-2</c:v>
                </c:pt>
                <c:pt idx="1">
                  <c:v>7.2824742268017495E-2</c:v>
                </c:pt>
                <c:pt idx="2">
                  <c:v>7.2824742268017495E-2</c:v>
                </c:pt>
                <c:pt idx="3">
                  <c:v>7.2824742268017495E-2</c:v>
                </c:pt>
                <c:pt idx="4">
                  <c:v>2.8247422680172107E-3</c:v>
                </c:pt>
                <c:pt idx="5">
                  <c:v>2.8247422680172107E-3</c:v>
                </c:pt>
                <c:pt idx="6">
                  <c:v>2.8247422680172107E-3</c:v>
                </c:pt>
                <c:pt idx="7">
                  <c:v>2.8247422680172107E-3</c:v>
                </c:pt>
                <c:pt idx="8">
                  <c:v>2.8247422680172107E-3</c:v>
                </c:pt>
                <c:pt idx="9">
                  <c:v>2.8247422680172107E-3</c:v>
                </c:pt>
                <c:pt idx="10">
                  <c:v>2.8247422680172107E-3</c:v>
                </c:pt>
                <c:pt idx="11">
                  <c:v>-5.7175257731982398E-2</c:v>
                </c:pt>
                <c:pt idx="12">
                  <c:v>-5.7175257731982398E-2</c:v>
                </c:pt>
                <c:pt idx="13">
                  <c:v>-5.7175257731982398E-2</c:v>
                </c:pt>
                <c:pt idx="14">
                  <c:v>2.8247422680172107E-3</c:v>
                </c:pt>
                <c:pt idx="15">
                  <c:v>-5.7175257731982398E-2</c:v>
                </c:pt>
                <c:pt idx="16">
                  <c:v>-5.7175257731982398E-2</c:v>
                </c:pt>
                <c:pt idx="17">
                  <c:v>-5.7175257731982398E-2</c:v>
                </c:pt>
                <c:pt idx="18">
                  <c:v>-5.7175257731982398E-2</c:v>
                </c:pt>
                <c:pt idx="19">
                  <c:v>-5.7175257731982398E-2</c:v>
                </c:pt>
                <c:pt idx="20">
                  <c:v>-5.7175257731982398E-2</c:v>
                </c:pt>
                <c:pt idx="21">
                  <c:v>-5.7175257731982398E-2</c:v>
                </c:pt>
                <c:pt idx="22">
                  <c:v>-5.7175257731982398E-2</c:v>
                </c:pt>
                <c:pt idx="23">
                  <c:v>-0.11717525773198201</c:v>
                </c:pt>
                <c:pt idx="24">
                  <c:v>-0.11717525773198201</c:v>
                </c:pt>
                <c:pt idx="25">
                  <c:v>-0.11717525773198201</c:v>
                </c:pt>
                <c:pt idx="26">
                  <c:v>-0.11717525773198201</c:v>
                </c:pt>
                <c:pt idx="27">
                  <c:v>-0.11717525773198201</c:v>
                </c:pt>
                <c:pt idx="28">
                  <c:v>-0.11717525773198201</c:v>
                </c:pt>
                <c:pt idx="29">
                  <c:v>-0.11717525773198201</c:v>
                </c:pt>
                <c:pt idx="30">
                  <c:v>-0.11717525773198201</c:v>
                </c:pt>
                <c:pt idx="31">
                  <c:v>-0.17717525773198251</c:v>
                </c:pt>
                <c:pt idx="32">
                  <c:v>-0.17717525773198251</c:v>
                </c:pt>
                <c:pt idx="33">
                  <c:v>-0.17717525773198251</c:v>
                </c:pt>
                <c:pt idx="34">
                  <c:v>-0.17717525773198251</c:v>
                </c:pt>
                <c:pt idx="35">
                  <c:v>-0.17717525773198251</c:v>
                </c:pt>
                <c:pt idx="36">
                  <c:v>-0.17717525773198251</c:v>
                </c:pt>
                <c:pt idx="37">
                  <c:v>-0.17717525773198251</c:v>
                </c:pt>
                <c:pt idx="38">
                  <c:v>-0.17717525773198251</c:v>
                </c:pt>
                <c:pt idx="39">
                  <c:v>-0.17717525773198251</c:v>
                </c:pt>
                <c:pt idx="40">
                  <c:v>-0.17717525773198251</c:v>
                </c:pt>
                <c:pt idx="41">
                  <c:v>-0.17717525773198251</c:v>
                </c:pt>
                <c:pt idx="42">
                  <c:v>-0.17717525773198251</c:v>
                </c:pt>
                <c:pt idx="43">
                  <c:v>-0.17717525773198251</c:v>
                </c:pt>
                <c:pt idx="44">
                  <c:v>-0.17717525773198251</c:v>
                </c:pt>
                <c:pt idx="45">
                  <c:v>-0.17717525773198251</c:v>
                </c:pt>
                <c:pt idx="46">
                  <c:v>-0.11717525773198201</c:v>
                </c:pt>
                <c:pt idx="47">
                  <c:v>-0.11717525773198201</c:v>
                </c:pt>
                <c:pt idx="48">
                  <c:v>-0.17717525773198251</c:v>
                </c:pt>
                <c:pt idx="49">
                  <c:v>-0.17717525773198251</c:v>
                </c:pt>
                <c:pt idx="50">
                  <c:v>-0.17717525773198251</c:v>
                </c:pt>
                <c:pt idx="51">
                  <c:v>-0.17717525773198251</c:v>
                </c:pt>
                <c:pt idx="52">
                  <c:v>-0.17717525773198251</c:v>
                </c:pt>
                <c:pt idx="53">
                  <c:v>-0.17717525773198251</c:v>
                </c:pt>
                <c:pt idx="54">
                  <c:v>-0.17717525773198251</c:v>
                </c:pt>
                <c:pt idx="55">
                  <c:v>-0.17717525773198251</c:v>
                </c:pt>
                <c:pt idx="56">
                  <c:v>-0.17717525773198251</c:v>
                </c:pt>
                <c:pt idx="57">
                  <c:v>-0.11717525773198201</c:v>
                </c:pt>
                <c:pt idx="58">
                  <c:v>-0.11717525773198201</c:v>
                </c:pt>
                <c:pt idx="59">
                  <c:v>-0.11717525773198201</c:v>
                </c:pt>
                <c:pt idx="60">
                  <c:v>-0.11717525773198201</c:v>
                </c:pt>
                <c:pt idx="61">
                  <c:v>-0.11717525773198201</c:v>
                </c:pt>
                <c:pt idx="62">
                  <c:v>-0.11717525773198201</c:v>
                </c:pt>
                <c:pt idx="63">
                  <c:v>-0.17717525773198251</c:v>
                </c:pt>
                <c:pt idx="64">
                  <c:v>-0.17717525773198251</c:v>
                </c:pt>
                <c:pt idx="65">
                  <c:v>-0.17717525773198251</c:v>
                </c:pt>
                <c:pt idx="66">
                  <c:v>-0.11717525773198201</c:v>
                </c:pt>
                <c:pt idx="67">
                  <c:v>-0.11717525773198201</c:v>
                </c:pt>
                <c:pt idx="68">
                  <c:v>-0.11717525773198201</c:v>
                </c:pt>
                <c:pt idx="69">
                  <c:v>-0.11717525773198201</c:v>
                </c:pt>
                <c:pt idx="70">
                  <c:v>-0.11717525773198201</c:v>
                </c:pt>
                <c:pt idx="71">
                  <c:v>-0.11717525773198201</c:v>
                </c:pt>
                <c:pt idx="72">
                  <c:v>-0.11717525773198201</c:v>
                </c:pt>
                <c:pt idx="73">
                  <c:v>-0.11717525773198201</c:v>
                </c:pt>
                <c:pt idx="74">
                  <c:v>-0.11717525773198201</c:v>
                </c:pt>
                <c:pt idx="75">
                  <c:v>-0.11717525773198201</c:v>
                </c:pt>
                <c:pt idx="76">
                  <c:v>-0.11717525773198201</c:v>
                </c:pt>
                <c:pt idx="77">
                  <c:v>-0.11717525773198201</c:v>
                </c:pt>
                <c:pt idx="78">
                  <c:v>-0.17717525773198251</c:v>
                </c:pt>
                <c:pt idx="79">
                  <c:v>-0.17717525773198251</c:v>
                </c:pt>
                <c:pt idx="80">
                  <c:v>-0.17717525773198251</c:v>
                </c:pt>
                <c:pt idx="81">
                  <c:v>-0.17717525773198251</c:v>
                </c:pt>
                <c:pt idx="82">
                  <c:v>-0.17717525773198251</c:v>
                </c:pt>
                <c:pt idx="83">
                  <c:v>-0.11717525773198201</c:v>
                </c:pt>
                <c:pt idx="84">
                  <c:v>-0.11717525773198201</c:v>
                </c:pt>
                <c:pt idx="85">
                  <c:v>-0.11717525773198201</c:v>
                </c:pt>
                <c:pt idx="86">
                  <c:v>-0.11717525773198201</c:v>
                </c:pt>
                <c:pt idx="87">
                  <c:v>-0.11717525773198201</c:v>
                </c:pt>
                <c:pt idx="88">
                  <c:v>-0.11717525773198201</c:v>
                </c:pt>
                <c:pt idx="89">
                  <c:v>-0.11717525773198201</c:v>
                </c:pt>
                <c:pt idx="90">
                  <c:v>-0.11717525773198201</c:v>
                </c:pt>
                <c:pt idx="91">
                  <c:v>-0.11717525773198201</c:v>
                </c:pt>
                <c:pt idx="92">
                  <c:v>-0.11717525773198201</c:v>
                </c:pt>
                <c:pt idx="93">
                  <c:v>-0.11717525773198201</c:v>
                </c:pt>
                <c:pt idx="94">
                  <c:v>-5.7175257731982398E-2</c:v>
                </c:pt>
                <c:pt idx="95">
                  <c:v>-0.11717525773198201</c:v>
                </c:pt>
                <c:pt idx="96">
                  <c:v>-0.11717525773198201</c:v>
                </c:pt>
                <c:pt idx="97">
                  <c:v>-0.11717525773198201</c:v>
                </c:pt>
                <c:pt idx="98">
                  <c:v>-0.11717525773198201</c:v>
                </c:pt>
                <c:pt idx="99">
                  <c:v>-0.11717525773198201</c:v>
                </c:pt>
                <c:pt idx="100">
                  <c:v>-0.11717525773198201</c:v>
                </c:pt>
                <c:pt idx="101">
                  <c:v>-0.11717525773198201</c:v>
                </c:pt>
                <c:pt idx="102">
                  <c:v>-0.11717525773198201</c:v>
                </c:pt>
                <c:pt idx="103">
                  <c:v>-0.11717525773198201</c:v>
                </c:pt>
                <c:pt idx="104">
                  <c:v>-0.11717525773198201</c:v>
                </c:pt>
                <c:pt idx="105">
                  <c:v>-0.11717525773198201</c:v>
                </c:pt>
                <c:pt idx="106">
                  <c:v>-0.11717525773198201</c:v>
                </c:pt>
                <c:pt idx="107">
                  <c:v>-0.11717525773198201</c:v>
                </c:pt>
                <c:pt idx="108">
                  <c:v>-0.11717525773198201</c:v>
                </c:pt>
                <c:pt idx="109">
                  <c:v>-0.11717525773198201</c:v>
                </c:pt>
                <c:pt idx="110">
                  <c:v>-0.11717525773198201</c:v>
                </c:pt>
                <c:pt idx="111">
                  <c:v>-0.11717525773198201</c:v>
                </c:pt>
                <c:pt idx="112">
                  <c:v>-0.11717525773198201</c:v>
                </c:pt>
                <c:pt idx="113">
                  <c:v>-0.11717525773198201</c:v>
                </c:pt>
                <c:pt idx="114">
                  <c:v>-0.11717525773198201</c:v>
                </c:pt>
                <c:pt idx="115">
                  <c:v>-0.11717525773198201</c:v>
                </c:pt>
                <c:pt idx="116">
                  <c:v>-0.11717525773198201</c:v>
                </c:pt>
                <c:pt idx="117">
                  <c:v>-0.11717525773198201</c:v>
                </c:pt>
                <c:pt idx="118">
                  <c:v>-0.11717525773198201</c:v>
                </c:pt>
                <c:pt idx="119">
                  <c:v>-0.11717525773198201</c:v>
                </c:pt>
                <c:pt idx="120">
                  <c:v>-0.11717525773198201</c:v>
                </c:pt>
                <c:pt idx="121">
                  <c:v>-0.11717525773198201</c:v>
                </c:pt>
                <c:pt idx="122">
                  <c:v>-0.11717525773198201</c:v>
                </c:pt>
                <c:pt idx="123">
                  <c:v>-0.11717525773198201</c:v>
                </c:pt>
                <c:pt idx="124">
                  <c:v>-0.11717525773198201</c:v>
                </c:pt>
                <c:pt idx="125">
                  <c:v>-0.11717525773198201</c:v>
                </c:pt>
                <c:pt idx="126">
                  <c:v>-0.11717525773198201</c:v>
                </c:pt>
                <c:pt idx="127">
                  <c:v>-0.11717525773198201</c:v>
                </c:pt>
                <c:pt idx="128">
                  <c:v>-0.11717525773198201</c:v>
                </c:pt>
                <c:pt idx="129">
                  <c:v>-0.11717525773198201</c:v>
                </c:pt>
                <c:pt idx="130">
                  <c:v>-5.7175257731982398E-2</c:v>
                </c:pt>
                <c:pt idx="131">
                  <c:v>-0.11717525773198201</c:v>
                </c:pt>
                <c:pt idx="132">
                  <c:v>-5.7175257731982398E-2</c:v>
                </c:pt>
                <c:pt idx="133">
                  <c:v>-5.7175257731982398E-2</c:v>
                </c:pt>
                <c:pt idx="134">
                  <c:v>-5.7175257731982398E-2</c:v>
                </c:pt>
                <c:pt idx="135">
                  <c:v>2.8247422680172107E-3</c:v>
                </c:pt>
                <c:pt idx="136">
                  <c:v>-5.7175257731982398E-2</c:v>
                </c:pt>
                <c:pt idx="137">
                  <c:v>2.8247422680172107E-3</c:v>
                </c:pt>
                <c:pt idx="138">
                  <c:v>-5.7175257731982398E-2</c:v>
                </c:pt>
                <c:pt idx="139">
                  <c:v>-5.7175257731982398E-2</c:v>
                </c:pt>
                <c:pt idx="140">
                  <c:v>-5.7175257731982398E-2</c:v>
                </c:pt>
                <c:pt idx="141">
                  <c:v>2.8247422680172107E-3</c:v>
                </c:pt>
                <c:pt idx="142">
                  <c:v>2.8247422680172107E-3</c:v>
                </c:pt>
                <c:pt idx="143">
                  <c:v>2.8247422680172107E-3</c:v>
                </c:pt>
                <c:pt idx="144">
                  <c:v>7.2824742268017495E-2</c:v>
                </c:pt>
                <c:pt idx="145">
                  <c:v>7.2824742268017495E-2</c:v>
                </c:pt>
                <c:pt idx="146">
                  <c:v>7.2824742268017495E-2</c:v>
                </c:pt>
                <c:pt idx="147">
                  <c:v>7.2824742268017495E-2</c:v>
                </c:pt>
                <c:pt idx="148">
                  <c:v>7.2824742268017495E-2</c:v>
                </c:pt>
                <c:pt idx="149">
                  <c:v>7.2824742268017495E-2</c:v>
                </c:pt>
                <c:pt idx="150">
                  <c:v>7.2824742268017495E-2</c:v>
                </c:pt>
                <c:pt idx="151">
                  <c:v>7.2824742268017495E-2</c:v>
                </c:pt>
                <c:pt idx="152">
                  <c:v>7.2824742268017495E-2</c:v>
                </c:pt>
                <c:pt idx="153">
                  <c:v>7.2824742268017495E-2</c:v>
                </c:pt>
                <c:pt idx="154">
                  <c:v>7.2824742268017495E-2</c:v>
                </c:pt>
                <c:pt idx="155">
                  <c:v>7.2824742268017495E-2</c:v>
                </c:pt>
                <c:pt idx="156">
                  <c:v>7.2824742268017495E-2</c:v>
                </c:pt>
                <c:pt idx="157">
                  <c:v>7.2824742268017495E-2</c:v>
                </c:pt>
                <c:pt idx="158">
                  <c:v>7.2824742268017495E-2</c:v>
                </c:pt>
                <c:pt idx="159">
                  <c:v>7.2824742268017495E-2</c:v>
                </c:pt>
                <c:pt idx="160">
                  <c:v>0.13282474226801799</c:v>
                </c:pt>
                <c:pt idx="161">
                  <c:v>7.2824742268017495E-2</c:v>
                </c:pt>
                <c:pt idx="162">
                  <c:v>7.2824742268017495E-2</c:v>
                </c:pt>
                <c:pt idx="163">
                  <c:v>7.2824742268017495E-2</c:v>
                </c:pt>
                <c:pt idx="164">
                  <c:v>7.2824742268017495E-2</c:v>
                </c:pt>
                <c:pt idx="165">
                  <c:v>7.2824742268017495E-2</c:v>
                </c:pt>
                <c:pt idx="166">
                  <c:v>7.2824742268017495E-2</c:v>
                </c:pt>
                <c:pt idx="167">
                  <c:v>7.2824742268017495E-2</c:v>
                </c:pt>
                <c:pt idx="168">
                  <c:v>7.2824742268017495E-2</c:v>
                </c:pt>
                <c:pt idx="169">
                  <c:v>7.2824742268017495E-2</c:v>
                </c:pt>
                <c:pt idx="170">
                  <c:v>7.2824742268017495E-2</c:v>
                </c:pt>
                <c:pt idx="171">
                  <c:v>7.2824742268017495E-2</c:v>
                </c:pt>
                <c:pt idx="172">
                  <c:v>7.2824742268017495E-2</c:v>
                </c:pt>
                <c:pt idx="173">
                  <c:v>0.13282474226801799</c:v>
                </c:pt>
                <c:pt idx="174">
                  <c:v>0.13282474226801799</c:v>
                </c:pt>
                <c:pt idx="175">
                  <c:v>0.13282474226801799</c:v>
                </c:pt>
                <c:pt idx="176">
                  <c:v>0.13282474226801799</c:v>
                </c:pt>
                <c:pt idx="177">
                  <c:v>0.13282474226801799</c:v>
                </c:pt>
                <c:pt idx="178">
                  <c:v>0.13282474226801799</c:v>
                </c:pt>
                <c:pt idx="179">
                  <c:v>0.13282474226801799</c:v>
                </c:pt>
                <c:pt idx="180">
                  <c:v>0.13282474226801799</c:v>
                </c:pt>
                <c:pt idx="181">
                  <c:v>0.13282474226801799</c:v>
                </c:pt>
                <c:pt idx="182">
                  <c:v>0.13282474226801799</c:v>
                </c:pt>
                <c:pt idx="183">
                  <c:v>0.13282474226801799</c:v>
                </c:pt>
                <c:pt idx="184">
                  <c:v>0.1928247422680176</c:v>
                </c:pt>
                <c:pt idx="185">
                  <c:v>0.1928247422680176</c:v>
                </c:pt>
                <c:pt idx="186">
                  <c:v>0.1928247422680176</c:v>
                </c:pt>
                <c:pt idx="187">
                  <c:v>0.1928247422680176</c:v>
                </c:pt>
                <c:pt idx="188">
                  <c:v>0.1928247422680176</c:v>
                </c:pt>
                <c:pt idx="189">
                  <c:v>0.1928247422680176</c:v>
                </c:pt>
                <c:pt idx="190">
                  <c:v>0.1928247422680176</c:v>
                </c:pt>
                <c:pt idx="191">
                  <c:v>0.13282474226801799</c:v>
                </c:pt>
                <c:pt idx="192">
                  <c:v>0.13282474226801799</c:v>
                </c:pt>
                <c:pt idx="193">
                  <c:v>0.13282474226801799</c:v>
                </c:pt>
                <c:pt idx="194">
                  <c:v>0.13282474226801799</c:v>
                </c:pt>
                <c:pt idx="195">
                  <c:v>0.13282474226801799</c:v>
                </c:pt>
                <c:pt idx="196">
                  <c:v>0.13282474226801799</c:v>
                </c:pt>
                <c:pt idx="197">
                  <c:v>0.13282474226801799</c:v>
                </c:pt>
                <c:pt idx="198">
                  <c:v>0.13282474226801799</c:v>
                </c:pt>
                <c:pt idx="199">
                  <c:v>7.2824742268017495E-2</c:v>
                </c:pt>
                <c:pt idx="200">
                  <c:v>7.2824742268017495E-2</c:v>
                </c:pt>
                <c:pt idx="201">
                  <c:v>7.2824742268017495E-2</c:v>
                </c:pt>
                <c:pt idx="202">
                  <c:v>2.8247422680172107E-3</c:v>
                </c:pt>
                <c:pt idx="203">
                  <c:v>2.8247422680172107E-3</c:v>
                </c:pt>
                <c:pt idx="204">
                  <c:v>2.8247422680172107E-3</c:v>
                </c:pt>
                <c:pt idx="205">
                  <c:v>7.2824742268017495E-2</c:v>
                </c:pt>
                <c:pt idx="206">
                  <c:v>7.2824742268017495E-2</c:v>
                </c:pt>
                <c:pt idx="207">
                  <c:v>7.2824742268017495E-2</c:v>
                </c:pt>
                <c:pt idx="208">
                  <c:v>2.8247422680172107E-3</c:v>
                </c:pt>
                <c:pt idx="209">
                  <c:v>2.8247422680172107E-3</c:v>
                </c:pt>
                <c:pt idx="210">
                  <c:v>2.8247422680172107E-3</c:v>
                </c:pt>
                <c:pt idx="211">
                  <c:v>2.8247422680172107E-3</c:v>
                </c:pt>
                <c:pt idx="212">
                  <c:v>2.8247422680172107E-3</c:v>
                </c:pt>
                <c:pt idx="213">
                  <c:v>2.8247422680172107E-3</c:v>
                </c:pt>
                <c:pt idx="214">
                  <c:v>2.8247422680172107E-3</c:v>
                </c:pt>
                <c:pt idx="215">
                  <c:v>2.8247422680172107E-3</c:v>
                </c:pt>
                <c:pt idx="216">
                  <c:v>2.8247422680172107E-3</c:v>
                </c:pt>
                <c:pt idx="217">
                  <c:v>-5.7175257731982398E-2</c:v>
                </c:pt>
                <c:pt idx="218">
                  <c:v>-5.7175257731982398E-2</c:v>
                </c:pt>
                <c:pt idx="219">
                  <c:v>-5.7175257731982398E-2</c:v>
                </c:pt>
                <c:pt idx="220">
                  <c:v>-5.7175257731982398E-2</c:v>
                </c:pt>
                <c:pt idx="221">
                  <c:v>-5.7175257731982398E-2</c:v>
                </c:pt>
                <c:pt idx="222">
                  <c:v>-5.7175257731982398E-2</c:v>
                </c:pt>
                <c:pt idx="223">
                  <c:v>-5.7175257731982398E-2</c:v>
                </c:pt>
                <c:pt idx="224">
                  <c:v>-5.7175257731982398E-2</c:v>
                </c:pt>
                <c:pt idx="225">
                  <c:v>-5.7175257731982398E-2</c:v>
                </c:pt>
                <c:pt idx="226">
                  <c:v>-5.7175257731982398E-2</c:v>
                </c:pt>
                <c:pt idx="227">
                  <c:v>-5.7175257731982398E-2</c:v>
                </c:pt>
                <c:pt idx="228">
                  <c:v>-5.7175257731982398E-2</c:v>
                </c:pt>
                <c:pt idx="229">
                  <c:v>-5.7175257731982398E-2</c:v>
                </c:pt>
                <c:pt idx="230">
                  <c:v>-5.7175257731982398E-2</c:v>
                </c:pt>
                <c:pt idx="231">
                  <c:v>-5.7175257731982398E-2</c:v>
                </c:pt>
                <c:pt idx="232">
                  <c:v>-5.7175257731982398E-2</c:v>
                </c:pt>
                <c:pt idx="233">
                  <c:v>-5.7175257731982398E-2</c:v>
                </c:pt>
                <c:pt idx="234">
                  <c:v>-5.7175257731982398E-2</c:v>
                </c:pt>
                <c:pt idx="235">
                  <c:v>-5.7175257731982398E-2</c:v>
                </c:pt>
                <c:pt idx="236">
                  <c:v>-5.7175257731982398E-2</c:v>
                </c:pt>
                <c:pt idx="237">
                  <c:v>-5.7175257731982398E-2</c:v>
                </c:pt>
                <c:pt idx="238">
                  <c:v>-5.7175257731982398E-2</c:v>
                </c:pt>
                <c:pt idx="239">
                  <c:v>-5.7175257731982398E-2</c:v>
                </c:pt>
                <c:pt idx="240">
                  <c:v>-5.7175257731982398E-2</c:v>
                </c:pt>
                <c:pt idx="241">
                  <c:v>-5.7175257731982398E-2</c:v>
                </c:pt>
                <c:pt idx="242">
                  <c:v>-5.7175257731982398E-2</c:v>
                </c:pt>
                <c:pt idx="243">
                  <c:v>-5.7175257731982398E-2</c:v>
                </c:pt>
                <c:pt idx="244">
                  <c:v>-5.7175257731982398E-2</c:v>
                </c:pt>
                <c:pt idx="245">
                  <c:v>-5.7175257731982398E-2</c:v>
                </c:pt>
                <c:pt idx="246">
                  <c:v>-5.7175257731982398E-2</c:v>
                </c:pt>
                <c:pt idx="247">
                  <c:v>-5.7175257731982398E-2</c:v>
                </c:pt>
                <c:pt idx="248">
                  <c:v>-0.11717525773198201</c:v>
                </c:pt>
                <c:pt idx="249">
                  <c:v>-0.11717525773198201</c:v>
                </c:pt>
                <c:pt idx="250">
                  <c:v>-0.11717525773198201</c:v>
                </c:pt>
                <c:pt idx="251">
                  <c:v>-0.11717525773198201</c:v>
                </c:pt>
                <c:pt idx="252">
                  <c:v>-0.11717525773198201</c:v>
                </c:pt>
                <c:pt idx="253">
                  <c:v>-0.11717525773198201</c:v>
                </c:pt>
                <c:pt idx="254">
                  <c:v>-0.11717525773198201</c:v>
                </c:pt>
                <c:pt idx="255">
                  <c:v>-0.11717525773198201</c:v>
                </c:pt>
                <c:pt idx="256">
                  <c:v>-0.11717525773198201</c:v>
                </c:pt>
                <c:pt idx="257">
                  <c:v>-0.11717525773198201</c:v>
                </c:pt>
                <c:pt idx="258">
                  <c:v>-0.11717525773198201</c:v>
                </c:pt>
                <c:pt idx="259">
                  <c:v>-0.11717525773198201</c:v>
                </c:pt>
                <c:pt idx="260">
                  <c:v>-0.11717525773198201</c:v>
                </c:pt>
                <c:pt idx="261">
                  <c:v>-0.11717525773198201</c:v>
                </c:pt>
                <c:pt idx="262">
                  <c:v>-0.11717525773198201</c:v>
                </c:pt>
                <c:pt idx="263">
                  <c:v>-5.7175257731982398E-2</c:v>
                </c:pt>
                <c:pt idx="264">
                  <c:v>-5.7175257731982398E-2</c:v>
                </c:pt>
                <c:pt idx="265">
                  <c:v>-5.7175257731982398E-2</c:v>
                </c:pt>
                <c:pt idx="266">
                  <c:v>-5.7175257731982398E-2</c:v>
                </c:pt>
                <c:pt idx="267">
                  <c:v>-5.7175257731982398E-2</c:v>
                </c:pt>
                <c:pt idx="268">
                  <c:v>-5.7175257731982398E-2</c:v>
                </c:pt>
                <c:pt idx="269">
                  <c:v>-5.7175257731982398E-2</c:v>
                </c:pt>
                <c:pt idx="270">
                  <c:v>2.8247422680172107E-3</c:v>
                </c:pt>
                <c:pt idx="271">
                  <c:v>2.8247422680172107E-3</c:v>
                </c:pt>
                <c:pt idx="272">
                  <c:v>2.8247422680172107E-3</c:v>
                </c:pt>
                <c:pt idx="273">
                  <c:v>2.8247422680172107E-3</c:v>
                </c:pt>
                <c:pt idx="274">
                  <c:v>2.8247422680172107E-3</c:v>
                </c:pt>
                <c:pt idx="275">
                  <c:v>-5.7175257731982398E-2</c:v>
                </c:pt>
                <c:pt idx="276">
                  <c:v>-5.7175257731982398E-2</c:v>
                </c:pt>
                <c:pt idx="277">
                  <c:v>-5.7175257731982398E-2</c:v>
                </c:pt>
                <c:pt idx="278">
                  <c:v>-5.7175257731982398E-2</c:v>
                </c:pt>
                <c:pt idx="279">
                  <c:v>-5.7175257731982398E-2</c:v>
                </c:pt>
                <c:pt idx="280">
                  <c:v>2.8247422680172107E-3</c:v>
                </c:pt>
                <c:pt idx="281">
                  <c:v>2.8247422680172107E-3</c:v>
                </c:pt>
                <c:pt idx="282">
                  <c:v>-5.7175257731982398E-2</c:v>
                </c:pt>
                <c:pt idx="283">
                  <c:v>-5.7175257731982398E-2</c:v>
                </c:pt>
                <c:pt idx="284">
                  <c:v>2.8247422680172107E-3</c:v>
                </c:pt>
                <c:pt idx="285">
                  <c:v>2.8247422680172107E-3</c:v>
                </c:pt>
                <c:pt idx="286">
                  <c:v>2.8247422680172107E-3</c:v>
                </c:pt>
                <c:pt idx="287">
                  <c:v>2.8247422680172107E-3</c:v>
                </c:pt>
                <c:pt idx="288">
                  <c:v>2.8247422680172107E-3</c:v>
                </c:pt>
                <c:pt idx="289">
                  <c:v>2.8247422680172107E-3</c:v>
                </c:pt>
                <c:pt idx="290">
                  <c:v>2.8247422680172107E-3</c:v>
                </c:pt>
                <c:pt idx="291">
                  <c:v>2.8247422680172107E-3</c:v>
                </c:pt>
                <c:pt idx="292">
                  <c:v>2.8247422680172107E-3</c:v>
                </c:pt>
                <c:pt idx="293">
                  <c:v>2.8247422680172107E-3</c:v>
                </c:pt>
                <c:pt idx="294">
                  <c:v>2.8247422680172107E-3</c:v>
                </c:pt>
                <c:pt idx="295">
                  <c:v>2.8247422680172107E-3</c:v>
                </c:pt>
                <c:pt idx="296">
                  <c:v>2.8247422680172107E-3</c:v>
                </c:pt>
                <c:pt idx="297">
                  <c:v>2.8247422680172107E-3</c:v>
                </c:pt>
                <c:pt idx="298">
                  <c:v>2.8247422680172107E-3</c:v>
                </c:pt>
                <c:pt idx="299">
                  <c:v>2.8247422680172107E-3</c:v>
                </c:pt>
                <c:pt idx="300">
                  <c:v>-5.7175257731982398E-2</c:v>
                </c:pt>
                <c:pt idx="301">
                  <c:v>2.8247422680172107E-3</c:v>
                </c:pt>
                <c:pt idx="302">
                  <c:v>2.8247422680172107E-3</c:v>
                </c:pt>
                <c:pt idx="303">
                  <c:v>2.8247422680172107E-3</c:v>
                </c:pt>
                <c:pt idx="304">
                  <c:v>2.8247422680172107E-3</c:v>
                </c:pt>
                <c:pt idx="305">
                  <c:v>2.8247422680172107E-3</c:v>
                </c:pt>
                <c:pt idx="306">
                  <c:v>-5.7175257731982398E-2</c:v>
                </c:pt>
                <c:pt idx="307">
                  <c:v>-5.7175257731982398E-2</c:v>
                </c:pt>
                <c:pt idx="308">
                  <c:v>-5.7175257731982398E-2</c:v>
                </c:pt>
                <c:pt idx="309">
                  <c:v>-5.7175257731982398E-2</c:v>
                </c:pt>
                <c:pt idx="310">
                  <c:v>-5.7175257731982398E-2</c:v>
                </c:pt>
                <c:pt idx="311">
                  <c:v>-5.7175257731982398E-2</c:v>
                </c:pt>
                <c:pt idx="312">
                  <c:v>2.8247422680172107E-3</c:v>
                </c:pt>
                <c:pt idx="313">
                  <c:v>2.8247422680172107E-3</c:v>
                </c:pt>
                <c:pt idx="314">
                  <c:v>2.8247422680172107E-3</c:v>
                </c:pt>
                <c:pt idx="315">
                  <c:v>2.8247422680172107E-3</c:v>
                </c:pt>
                <c:pt idx="316">
                  <c:v>2.8247422680172107E-3</c:v>
                </c:pt>
                <c:pt idx="317">
                  <c:v>2.8247422680172107E-3</c:v>
                </c:pt>
                <c:pt idx="318">
                  <c:v>2.8247422680172107E-3</c:v>
                </c:pt>
                <c:pt idx="319">
                  <c:v>2.8247422680172107E-3</c:v>
                </c:pt>
                <c:pt idx="320">
                  <c:v>2.8247422680172107E-3</c:v>
                </c:pt>
                <c:pt idx="321">
                  <c:v>2.8247422680172107E-3</c:v>
                </c:pt>
                <c:pt idx="322">
                  <c:v>7.2824742268017495E-2</c:v>
                </c:pt>
                <c:pt idx="323">
                  <c:v>7.2824742268017495E-2</c:v>
                </c:pt>
                <c:pt idx="324">
                  <c:v>7.2824742268017495E-2</c:v>
                </c:pt>
                <c:pt idx="325">
                  <c:v>7.2824742268017495E-2</c:v>
                </c:pt>
                <c:pt idx="326">
                  <c:v>7.2824742268017495E-2</c:v>
                </c:pt>
                <c:pt idx="327">
                  <c:v>7.2824742268017495E-2</c:v>
                </c:pt>
                <c:pt idx="328">
                  <c:v>7.2824742268017495E-2</c:v>
                </c:pt>
                <c:pt idx="329">
                  <c:v>2.8247422680172107E-3</c:v>
                </c:pt>
                <c:pt idx="330">
                  <c:v>2.8247422680172107E-3</c:v>
                </c:pt>
                <c:pt idx="331">
                  <c:v>2.8247422680172107E-3</c:v>
                </c:pt>
                <c:pt idx="332">
                  <c:v>2.8247422680172107E-3</c:v>
                </c:pt>
                <c:pt idx="333">
                  <c:v>2.8247422680172107E-3</c:v>
                </c:pt>
                <c:pt idx="334">
                  <c:v>2.8247422680172107E-3</c:v>
                </c:pt>
                <c:pt idx="335">
                  <c:v>2.8247422680172107E-3</c:v>
                </c:pt>
                <c:pt idx="336">
                  <c:v>2.8247422680172107E-3</c:v>
                </c:pt>
                <c:pt idx="337">
                  <c:v>2.8247422680172107E-3</c:v>
                </c:pt>
                <c:pt idx="338">
                  <c:v>2.8247422680172107E-3</c:v>
                </c:pt>
                <c:pt idx="339">
                  <c:v>2.8247422680172107E-3</c:v>
                </c:pt>
                <c:pt idx="340">
                  <c:v>2.8247422680172107E-3</c:v>
                </c:pt>
                <c:pt idx="341">
                  <c:v>2.8247422680172107E-3</c:v>
                </c:pt>
                <c:pt idx="342">
                  <c:v>2.8247422680172107E-3</c:v>
                </c:pt>
                <c:pt idx="343">
                  <c:v>2.8247422680172107E-3</c:v>
                </c:pt>
                <c:pt idx="344">
                  <c:v>2.8247422680172107E-3</c:v>
                </c:pt>
                <c:pt idx="345">
                  <c:v>7.2824742268017495E-2</c:v>
                </c:pt>
                <c:pt idx="346">
                  <c:v>7.2824742268017495E-2</c:v>
                </c:pt>
                <c:pt idx="347">
                  <c:v>2.8247422680172107E-3</c:v>
                </c:pt>
                <c:pt idx="348">
                  <c:v>2.8247422680172107E-3</c:v>
                </c:pt>
                <c:pt idx="349">
                  <c:v>2.8247422680172107E-3</c:v>
                </c:pt>
                <c:pt idx="350">
                  <c:v>2.8247422680172107E-3</c:v>
                </c:pt>
                <c:pt idx="351">
                  <c:v>2.8247422680172107E-3</c:v>
                </c:pt>
                <c:pt idx="352">
                  <c:v>2.8247422680172107E-3</c:v>
                </c:pt>
                <c:pt idx="353">
                  <c:v>2.8247422680172107E-3</c:v>
                </c:pt>
                <c:pt idx="354">
                  <c:v>2.8247422680172107E-3</c:v>
                </c:pt>
                <c:pt idx="355">
                  <c:v>2.8247422680172107E-3</c:v>
                </c:pt>
                <c:pt idx="356">
                  <c:v>-5.7175257731982398E-2</c:v>
                </c:pt>
                <c:pt idx="357">
                  <c:v>2.8247422680172107E-3</c:v>
                </c:pt>
                <c:pt idx="358">
                  <c:v>2.8247422680172107E-3</c:v>
                </c:pt>
                <c:pt idx="359">
                  <c:v>2.8247422680172107E-3</c:v>
                </c:pt>
                <c:pt idx="360">
                  <c:v>2.8247422680172107E-3</c:v>
                </c:pt>
                <c:pt idx="361">
                  <c:v>2.8247422680172107E-3</c:v>
                </c:pt>
                <c:pt idx="362">
                  <c:v>2.8247422680172107E-3</c:v>
                </c:pt>
                <c:pt idx="363">
                  <c:v>2.8247422680172107E-3</c:v>
                </c:pt>
                <c:pt idx="364">
                  <c:v>2.8247422680172107E-3</c:v>
                </c:pt>
                <c:pt idx="365">
                  <c:v>7.2824742268017495E-2</c:v>
                </c:pt>
                <c:pt idx="366">
                  <c:v>7.2824742268017495E-2</c:v>
                </c:pt>
                <c:pt idx="367">
                  <c:v>7.2824742268017495E-2</c:v>
                </c:pt>
                <c:pt idx="368">
                  <c:v>7.2824742268017495E-2</c:v>
                </c:pt>
                <c:pt idx="369">
                  <c:v>7.2824742268017495E-2</c:v>
                </c:pt>
                <c:pt idx="370">
                  <c:v>7.2824742268017495E-2</c:v>
                </c:pt>
                <c:pt idx="371">
                  <c:v>7.2824742268017495E-2</c:v>
                </c:pt>
                <c:pt idx="372">
                  <c:v>7.2824742268017495E-2</c:v>
                </c:pt>
                <c:pt idx="373">
                  <c:v>2.8247422680172107E-3</c:v>
                </c:pt>
                <c:pt idx="374">
                  <c:v>7.2824742268017495E-2</c:v>
                </c:pt>
                <c:pt idx="375">
                  <c:v>7.2824742268017495E-2</c:v>
                </c:pt>
                <c:pt idx="376">
                  <c:v>7.2824742268017495E-2</c:v>
                </c:pt>
                <c:pt idx="377">
                  <c:v>7.2824742268017495E-2</c:v>
                </c:pt>
                <c:pt idx="378">
                  <c:v>7.2824742268017495E-2</c:v>
                </c:pt>
                <c:pt idx="379">
                  <c:v>7.2824742268017495E-2</c:v>
                </c:pt>
                <c:pt idx="380">
                  <c:v>0.13282474226801799</c:v>
                </c:pt>
                <c:pt idx="381">
                  <c:v>7.2824742268017495E-2</c:v>
                </c:pt>
                <c:pt idx="382">
                  <c:v>0.13282474226801799</c:v>
                </c:pt>
                <c:pt idx="383">
                  <c:v>0.13282474226801799</c:v>
                </c:pt>
                <c:pt idx="384">
                  <c:v>0.13282474226801799</c:v>
                </c:pt>
                <c:pt idx="385">
                  <c:v>0.13282474226801799</c:v>
                </c:pt>
                <c:pt idx="386">
                  <c:v>0.13282474226801799</c:v>
                </c:pt>
                <c:pt idx="387">
                  <c:v>0.1928247422680176</c:v>
                </c:pt>
                <c:pt idx="388">
                  <c:v>0.1928247422680176</c:v>
                </c:pt>
                <c:pt idx="389">
                  <c:v>0.13282474226801799</c:v>
                </c:pt>
                <c:pt idx="390">
                  <c:v>0.13282474226801799</c:v>
                </c:pt>
                <c:pt idx="391">
                  <c:v>0.13282474226801799</c:v>
                </c:pt>
                <c:pt idx="392">
                  <c:v>0.13282474226801799</c:v>
                </c:pt>
                <c:pt idx="393">
                  <c:v>0.13282474226801799</c:v>
                </c:pt>
                <c:pt idx="394">
                  <c:v>0.13282474226801799</c:v>
                </c:pt>
                <c:pt idx="395">
                  <c:v>0.13282474226801799</c:v>
                </c:pt>
                <c:pt idx="396">
                  <c:v>0.1928247422680176</c:v>
                </c:pt>
                <c:pt idx="397">
                  <c:v>0.1928247422680176</c:v>
                </c:pt>
                <c:pt idx="398">
                  <c:v>0.1928247422680176</c:v>
                </c:pt>
                <c:pt idx="399">
                  <c:v>0.1928247422680176</c:v>
                </c:pt>
                <c:pt idx="400">
                  <c:v>0.1928247422680176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9AA-4474-BFCD-2F194B97DCD3}"/>
            </c:ext>
          </c:extLst>
        </c:ser>
        <c:ser>
          <c:idx val="0"/>
          <c:order val="1"/>
          <c:tx>
            <c:v>High Temperature (57°C) Stability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Sheet1!$Q$82:$Q$482</c:f>
              <c:numCache>
                <c:formatCode>General</c:formatCode>
                <c:ptCount val="4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</c:numCache>
            </c:numRef>
          </c:xVal>
          <c:yVal>
            <c:numRef>
              <c:f>Sheet1!$T$82:$T$482</c:f>
              <c:numCache>
                <c:formatCode>General</c:formatCode>
                <c:ptCount val="401"/>
                <c:pt idx="0">
                  <c:v>0.3602061855669163</c:v>
                </c:pt>
                <c:pt idx="1">
                  <c:v>0.29020618556691602</c:v>
                </c:pt>
                <c:pt idx="2">
                  <c:v>0.29020618556691602</c:v>
                </c:pt>
                <c:pt idx="3">
                  <c:v>0.23020618556691375</c:v>
                </c:pt>
                <c:pt idx="4">
                  <c:v>0.1102061855669163</c:v>
                </c:pt>
                <c:pt idx="5">
                  <c:v>4.020618556691602E-2</c:v>
                </c:pt>
                <c:pt idx="6">
                  <c:v>-1.9793814433086254E-2</c:v>
                </c:pt>
                <c:pt idx="7">
                  <c:v>-7.9793814433088528E-2</c:v>
                </c:pt>
                <c:pt idx="8">
                  <c:v>-7.9793814433088528E-2</c:v>
                </c:pt>
                <c:pt idx="9">
                  <c:v>-0.1397938144330837</c:v>
                </c:pt>
                <c:pt idx="10">
                  <c:v>-0.1397938144330837</c:v>
                </c:pt>
                <c:pt idx="11">
                  <c:v>-0.20979381443308398</c:v>
                </c:pt>
                <c:pt idx="12">
                  <c:v>-0.20979381443308398</c:v>
                </c:pt>
                <c:pt idx="13">
                  <c:v>-0.26979381443308625</c:v>
                </c:pt>
                <c:pt idx="14">
                  <c:v>-0.26979381443308625</c:v>
                </c:pt>
                <c:pt idx="15">
                  <c:v>-0.26979381443308625</c:v>
                </c:pt>
                <c:pt idx="16">
                  <c:v>-0.26979381443308625</c:v>
                </c:pt>
                <c:pt idx="17">
                  <c:v>-0.26979381443308625</c:v>
                </c:pt>
                <c:pt idx="18">
                  <c:v>-0.26979381443308625</c:v>
                </c:pt>
                <c:pt idx="19">
                  <c:v>-0.26979381443308625</c:v>
                </c:pt>
                <c:pt idx="20">
                  <c:v>-0.26979381443308625</c:v>
                </c:pt>
                <c:pt idx="21">
                  <c:v>-0.26979381443308625</c:v>
                </c:pt>
                <c:pt idx="22">
                  <c:v>-0.26979381443308625</c:v>
                </c:pt>
                <c:pt idx="23">
                  <c:v>-0.20979381443308398</c:v>
                </c:pt>
                <c:pt idx="24">
                  <c:v>-0.26979381443308625</c:v>
                </c:pt>
                <c:pt idx="25">
                  <c:v>-0.26979381443308625</c:v>
                </c:pt>
                <c:pt idx="26">
                  <c:v>-0.20979381443308398</c:v>
                </c:pt>
                <c:pt idx="27">
                  <c:v>-0.20979381443308398</c:v>
                </c:pt>
                <c:pt idx="28">
                  <c:v>-0.20979381443308398</c:v>
                </c:pt>
                <c:pt idx="29">
                  <c:v>-0.26979381443308625</c:v>
                </c:pt>
                <c:pt idx="30">
                  <c:v>-0.20979381443308398</c:v>
                </c:pt>
                <c:pt idx="31">
                  <c:v>-0.20979381443308398</c:v>
                </c:pt>
                <c:pt idx="32">
                  <c:v>-0.20979381443308398</c:v>
                </c:pt>
                <c:pt idx="33">
                  <c:v>-0.20979381443308398</c:v>
                </c:pt>
                <c:pt idx="34">
                  <c:v>-0.1397938144330837</c:v>
                </c:pt>
                <c:pt idx="35">
                  <c:v>-0.1397938144330837</c:v>
                </c:pt>
                <c:pt idx="36">
                  <c:v>-0.1397938144330837</c:v>
                </c:pt>
                <c:pt idx="37">
                  <c:v>-7.9793814433088528E-2</c:v>
                </c:pt>
                <c:pt idx="38">
                  <c:v>-7.9793814433088528E-2</c:v>
                </c:pt>
                <c:pt idx="39">
                  <c:v>-7.9793814433088528E-2</c:v>
                </c:pt>
                <c:pt idx="40">
                  <c:v>-7.9793814433088528E-2</c:v>
                </c:pt>
                <c:pt idx="41">
                  <c:v>-7.9793814433088528E-2</c:v>
                </c:pt>
                <c:pt idx="42">
                  <c:v>-7.9793814433088528E-2</c:v>
                </c:pt>
                <c:pt idx="43">
                  <c:v>-7.9793814433088528E-2</c:v>
                </c:pt>
                <c:pt idx="44">
                  <c:v>-1.9793814433086254E-2</c:v>
                </c:pt>
                <c:pt idx="45">
                  <c:v>-1.9793814433086254E-2</c:v>
                </c:pt>
                <c:pt idx="46">
                  <c:v>-1.9793814433086254E-2</c:v>
                </c:pt>
                <c:pt idx="47">
                  <c:v>-1.9793814433086254E-2</c:v>
                </c:pt>
                <c:pt idx="48">
                  <c:v>-1.9793814433086254E-2</c:v>
                </c:pt>
                <c:pt idx="49">
                  <c:v>4.020618556691602E-2</c:v>
                </c:pt>
                <c:pt idx="50">
                  <c:v>4.020618556691602E-2</c:v>
                </c:pt>
                <c:pt idx="51">
                  <c:v>0.1102061855669163</c:v>
                </c:pt>
                <c:pt idx="52">
                  <c:v>0.1102061855669163</c:v>
                </c:pt>
                <c:pt idx="53">
                  <c:v>0.1102061855669163</c:v>
                </c:pt>
                <c:pt idx="54">
                  <c:v>0.1102061855669163</c:v>
                </c:pt>
                <c:pt idx="55">
                  <c:v>0.1102061855669163</c:v>
                </c:pt>
                <c:pt idx="56">
                  <c:v>0.17020618556691147</c:v>
                </c:pt>
                <c:pt idx="57">
                  <c:v>0.17020618556691147</c:v>
                </c:pt>
                <c:pt idx="58">
                  <c:v>0.23020618556691375</c:v>
                </c:pt>
                <c:pt idx="59">
                  <c:v>0.29020618556691602</c:v>
                </c:pt>
                <c:pt idx="60">
                  <c:v>0.29020618556691602</c:v>
                </c:pt>
                <c:pt idx="61">
                  <c:v>0.3602061855669163</c:v>
                </c:pt>
                <c:pt idx="62">
                  <c:v>0.3602061855669163</c:v>
                </c:pt>
                <c:pt idx="63">
                  <c:v>0.3602061855669163</c:v>
                </c:pt>
                <c:pt idx="64">
                  <c:v>0.3602061855669163</c:v>
                </c:pt>
                <c:pt idx="65">
                  <c:v>0.3602061855669163</c:v>
                </c:pt>
                <c:pt idx="66">
                  <c:v>0.3602061855669163</c:v>
                </c:pt>
                <c:pt idx="67">
                  <c:v>0.3602061855669163</c:v>
                </c:pt>
                <c:pt idx="68">
                  <c:v>0.29020618556691602</c:v>
                </c:pt>
                <c:pt idx="69">
                  <c:v>0.29020618556691602</c:v>
                </c:pt>
                <c:pt idx="70">
                  <c:v>0.23020618556691375</c:v>
                </c:pt>
                <c:pt idx="71">
                  <c:v>0.23020618556691375</c:v>
                </c:pt>
                <c:pt idx="72">
                  <c:v>0.23020618556691375</c:v>
                </c:pt>
                <c:pt idx="73">
                  <c:v>0.29020618556691602</c:v>
                </c:pt>
                <c:pt idx="74">
                  <c:v>0.29020618556691602</c:v>
                </c:pt>
                <c:pt idx="75">
                  <c:v>0.29020618556691602</c:v>
                </c:pt>
                <c:pt idx="76">
                  <c:v>0.29020618556691602</c:v>
                </c:pt>
                <c:pt idx="77">
                  <c:v>0.23020618556691375</c:v>
                </c:pt>
                <c:pt idx="78">
                  <c:v>0.23020618556691375</c:v>
                </c:pt>
                <c:pt idx="79">
                  <c:v>0.23020618556691375</c:v>
                </c:pt>
                <c:pt idx="80">
                  <c:v>0.23020618556691375</c:v>
                </c:pt>
                <c:pt idx="81">
                  <c:v>0.17020618556691147</c:v>
                </c:pt>
                <c:pt idx="82">
                  <c:v>0.23020618556691375</c:v>
                </c:pt>
                <c:pt idx="83">
                  <c:v>0.23020618556691375</c:v>
                </c:pt>
                <c:pt idx="84">
                  <c:v>0.23020618556691375</c:v>
                </c:pt>
                <c:pt idx="85">
                  <c:v>0.23020618556691375</c:v>
                </c:pt>
                <c:pt idx="86">
                  <c:v>0.17020618556691147</c:v>
                </c:pt>
                <c:pt idx="87">
                  <c:v>0.1102061855669163</c:v>
                </c:pt>
                <c:pt idx="88">
                  <c:v>4.020618556691602E-2</c:v>
                </c:pt>
                <c:pt idx="89">
                  <c:v>4.020618556691602E-2</c:v>
                </c:pt>
                <c:pt idx="90">
                  <c:v>-1.9793814433086254E-2</c:v>
                </c:pt>
                <c:pt idx="91">
                  <c:v>-1.9793814433086254E-2</c:v>
                </c:pt>
                <c:pt idx="92">
                  <c:v>-7.9793814433088528E-2</c:v>
                </c:pt>
                <c:pt idx="93">
                  <c:v>-7.9793814433088528E-2</c:v>
                </c:pt>
                <c:pt idx="94">
                  <c:v>-0.1397938144330837</c:v>
                </c:pt>
                <c:pt idx="95">
                  <c:v>-0.1397938144330837</c:v>
                </c:pt>
                <c:pt idx="96">
                  <c:v>-0.1397938144330837</c:v>
                </c:pt>
                <c:pt idx="97">
                  <c:v>-0.1397938144330837</c:v>
                </c:pt>
                <c:pt idx="98">
                  <c:v>-0.1397938144330837</c:v>
                </c:pt>
                <c:pt idx="99">
                  <c:v>-0.20979381443308398</c:v>
                </c:pt>
                <c:pt idx="100">
                  <c:v>-0.26979381443308625</c:v>
                </c:pt>
                <c:pt idx="101">
                  <c:v>-0.20979381443308398</c:v>
                </c:pt>
                <c:pt idx="102">
                  <c:v>-0.20979381443308398</c:v>
                </c:pt>
                <c:pt idx="103">
                  <c:v>-0.20979381443308398</c:v>
                </c:pt>
                <c:pt idx="104">
                  <c:v>-0.20979381443308398</c:v>
                </c:pt>
                <c:pt idx="105">
                  <c:v>-0.20979381443308398</c:v>
                </c:pt>
                <c:pt idx="106">
                  <c:v>-0.1397938144330837</c:v>
                </c:pt>
                <c:pt idx="107">
                  <c:v>-0.1397938144330837</c:v>
                </c:pt>
                <c:pt idx="108">
                  <c:v>-0.1397938144330837</c:v>
                </c:pt>
                <c:pt idx="109">
                  <c:v>-0.1397938144330837</c:v>
                </c:pt>
                <c:pt idx="110">
                  <c:v>-0.1397938144330837</c:v>
                </c:pt>
                <c:pt idx="111">
                  <c:v>-0.20979381443308398</c:v>
                </c:pt>
                <c:pt idx="112">
                  <c:v>-0.20979381443308398</c:v>
                </c:pt>
                <c:pt idx="113">
                  <c:v>-0.20979381443308398</c:v>
                </c:pt>
                <c:pt idx="114">
                  <c:v>-0.20979381443308398</c:v>
                </c:pt>
                <c:pt idx="115">
                  <c:v>-0.20979381443308398</c:v>
                </c:pt>
                <c:pt idx="116">
                  <c:v>-0.20979381443308398</c:v>
                </c:pt>
                <c:pt idx="117">
                  <c:v>-0.20979381443308398</c:v>
                </c:pt>
                <c:pt idx="118">
                  <c:v>-0.20979381443308398</c:v>
                </c:pt>
                <c:pt idx="119">
                  <c:v>-0.26979381443308625</c:v>
                </c:pt>
                <c:pt idx="120">
                  <c:v>-0.20979381443308398</c:v>
                </c:pt>
                <c:pt idx="121">
                  <c:v>-0.20979381443308398</c:v>
                </c:pt>
                <c:pt idx="122">
                  <c:v>-0.20979381443308398</c:v>
                </c:pt>
                <c:pt idx="123">
                  <c:v>-0.20979381443308398</c:v>
                </c:pt>
                <c:pt idx="124">
                  <c:v>-0.20979381443308398</c:v>
                </c:pt>
                <c:pt idx="125">
                  <c:v>-0.20979381443308398</c:v>
                </c:pt>
                <c:pt idx="126">
                  <c:v>-0.20979381443308398</c:v>
                </c:pt>
                <c:pt idx="127">
                  <c:v>-0.20979381443308398</c:v>
                </c:pt>
                <c:pt idx="128">
                  <c:v>-0.26979381443308625</c:v>
                </c:pt>
                <c:pt idx="129">
                  <c:v>-0.20979381443308398</c:v>
                </c:pt>
                <c:pt idx="130">
                  <c:v>-0.1397938144330837</c:v>
                </c:pt>
                <c:pt idx="131">
                  <c:v>-0.1397938144330837</c:v>
                </c:pt>
                <c:pt idx="132">
                  <c:v>-7.9793814433088528E-2</c:v>
                </c:pt>
                <c:pt idx="133">
                  <c:v>-7.9793814433088528E-2</c:v>
                </c:pt>
                <c:pt idx="134">
                  <c:v>-7.9793814433088528E-2</c:v>
                </c:pt>
                <c:pt idx="135">
                  <c:v>-7.9793814433088528E-2</c:v>
                </c:pt>
                <c:pt idx="136">
                  <c:v>-1.9793814433086254E-2</c:v>
                </c:pt>
                <c:pt idx="137">
                  <c:v>-1.9793814433086254E-2</c:v>
                </c:pt>
                <c:pt idx="138">
                  <c:v>-1.9793814433086254E-2</c:v>
                </c:pt>
                <c:pt idx="139">
                  <c:v>-1.9793814433086254E-2</c:v>
                </c:pt>
                <c:pt idx="140">
                  <c:v>-1.9793814433086254E-2</c:v>
                </c:pt>
                <c:pt idx="141">
                  <c:v>-1.9793814433086254E-2</c:v>
                </c:pt>
                <c:pt idx="142">
                  <c:v>4.020618556691602E-2</c:v>
                </c:pt>
                <c:pt idx="143">
                  <c:v>4.020618556691602E-2</c:v>
                </c:pt>
                <c:pt idx="144">
                  <c:v>4.020618556691602E-2</c:v>
                </c:pt>
                <c:pt idx="145">
                  <c:v>4.020618556691602E-2</c:v>
                </c:pt>
                <c:pt idx="146">
                  <c:v>4.020618556691602E-2</c:v>
                </c:pt>
                <c:pt idx="147">
                  <c:v>4.020618556691602E-2</c:v>
                </c:pt>
                <c:pt idx="148">
                  <c:v>4.020618556691602E-2</c:v>
                </c:pt>
                <c:pt idx="149">
                  <c:v>0.1102061855669163</c:v>
                </c:pt>
                <c:pt idx="150">
                  <c:v>0.1102061855669163</c:v>
                </c:pt>
                <c:pt idx="151">
                  <c:v>4.020618556691602E-2</c:v>
                </c:pt>
                <c:pt idx="152">
                  <c:v>4.020618556691602E-2</c:v>
                </c:pt>
                <c:pt idx="153">
                  <c:v>4.020618556691602E-2</c:v>
                </c:pt>
                <c:pt idx="154">
                  <c:v>0.1102061855669163</c:v>
                </c:pt>
                <c:pt idx="155">
                  <c:v>0.1102061855669163</c:v>
                </c:pt>
                <c:pt idx="156">
                  <c:v>0.1102061855669163</c:v>
                </c:pt>
                <c:pt idx="157">
                  <c:v>0.1102061855669163</c:v>
                </c:pt>
                <c:pt idx="158">
                  <c:v>4.020618556691602E-2</c:v>
                </c:pt>
                <c:pt idx="159">
                  <c:v>4.020618556691602E-2</c:v>
                </c:pt>
                <c:pt idx="160">
                  <c:v>-1.9793814433086254E-2</c:v>
                </c:pt>
                <c:pt idx="161">
                  <c:v>-1.9793814433086254E-2</c:v>
                </c:pt>
                <c:pt idx="162">
                  <c:v>4.020618556691602E-2</c:v>
                </c:pt>
                <c:pt idx="163">
                  <c:v>0.1102061855669163</c:v>
                </c:pt>
                <c:pt idx="164">
                  <c:v>0.1102061855669163</c:v>
                </c:pt>
                <c:pt idx="165">
                  <c:v>0.1102061855669163</c:v>
                </c:pt>
                <c:pt idx="166">
                  <c:v>0.1102061855669163</c:v>
                </c:pt>
                <c:pt idx="167">
                  <c:v>0.1102061855669163</c:v>
                </c:pt>
                <c:pt idx="168">
                  <c:v>0.17020618556691147</c:v>
                </c:pt>
                <c:pt idx="169">
                  <c:v>0.17020618556691147</c:v>
                </c:pt>
                <c:pt idx="170">
                  <c:v>0.17020618556691147</c:v>
                </c:pt>
                <c:pt idx="171">
                  <c:v>0.17020618556691147</c:v>
                </c:pt>
                <c:pt idx="172">
                  <c:v>0.17020618556691147</c:v>
                </c:pt>
                <c:pt idx="173">
                  <c:v>0.17020618556691147</c:v>
                </c:pt>
                <c:pt idx="174">
                  <c:v>0.1102061855669163</c:v>
                </c:pt>
                <c:pt idx="175">
                  <c:v>0.17020618556691147</c:v>
                </c:pt>
                <c:pt idx="176">
                  <c:v>0.17020618556691147</c:v>
                </c:pt>
                <c:pt idx="177">
                  <c:v>0.1102061855669163</c:v>
                </c:pt>
                <c:pt idx="178">
                  <c:v>0.1102061855669163</c:v>
                </c:pt>
                <c:pt idx="179">
                  <c:v>0.1102061855669163</c:v>
                </c:pt>
                <c:pt idx="180">
                  <c:v>0.1102061855669163</c:v>
                </c:pt>
                <c:pt idx="181">
                  <c:v>0.1102061855669163</c:v>
                </c:pt>
                <c:pt idx="182">
                  <c:v>0.1102061855669163</c:v>
                </c:pt>
                <c:pt idx="183">
                  <c:v>0.1102061855669163</c:v>
                </c:pt>
                <c:pt idx="184">
                  <c:v>0.1102061855669163</c:v>
                </c:pt>
                <c:pt idx="185">
                  <c:v>0.1102061855669163</c:v>
                </c:pt>
                <c:pt idx="186">
                  <c:v>0.1102061855669163</c:v>
                </c:pt>
                <c:pt idx="187">
                  <c:v>0.1102061855669163</c:v>
                </c:pt>
                <c:pt idx="188">
                  <c:v>0.1102061855669163</c:v>
                </c:pt>
                <c:pt idx="189">
                  <c:v>0.17020618556691147</c:v>
                </c:pt>
                <c:pt idx="190">
                  <c:v>0.17020618556691147</c:v>
                </c:pt>
                <c:pt idx="191">
                  <c:v>0.17020618556691147</c:v>
                </c:pt>
                <c:pt idx="192">
                  <c:v>0.23020618556691375</c:v>
                </c:pt>
                <c:pt idx="193">
                  <c:v>0.17020618556691147</c:v>
                </c:pt>
                <c:pt idx="194">
                  <c:v>0.17020618556691147</c:v>
                </c:pt>
                <c:pt idx="195">
                  <c:v>0.17020618556691147</c:v>
                </c:pt>
                <c:pt idx="196">
                  <c:v>0.23020618556691375</c:v>
                </c:pt>
                <c:pt idx="197">
                  <c:v>0.23020618556691375</c:v>
                </c:pt>
                <c:pt idx="198">
                  <c:v>0.23020618556691375</c:v>
                </c:pt>
                <c:pt idx="199">
                  <c:v>0.23020618556691375</c:v>
                </c:pt>
                <c:pt idx="200">
                  <c:v>0.17020618556691147</c:v>
                </c:pt>
                <c:pt idx="201">
                  <c:v>0.17020618556691147</c:v>
                </c:pt>
                <c:pt idx="202">
                  <c:v>0.17020618556691147</c:v>
                </c:pt>
                <c:pt idx="203">
                  <c:v>0.17020618556691147</c:v>
                </c:pt>
                <c:pt idx="204">
                  <c:v>0.17020618556691147</c:v>
                </c:pt>
                <c:pt idx="205">
                  <c:v>0.17020618556691147</c:v>
                </c:pt>
                <c:pt idx="206">
                  <c:v>0.17020618556691147</c:v>
                </c:pt>
                <c:pt idx="207">
                  <c:v>0.17020618556691147</c:v>
                </c:pt>
                <c:pt idx="208">
                  <c:v>0.17020618556691147</c:v>
                </c:pt>
                <c:pt idx="209">
                  <c:v>0.17020618556691147</c:v>
                </c:pt>
                <c:pt idx="210">
                  <c:v>0.1102061855669163</c:v>
                </c:pt>
                <c:pt idx="211">
                  <c:v>4.020618556691602E-2</c:v>
                </c:pt>
                <c:pt idx="212">
                  <c:v>-1.9793814433086254E-2</c:v>
                </c:pt>
                <c:pt idx="213">
                  <c:v>-1.9793814433086254E-2</c:v>
                </c:pt>
                <c:pt idx="214">
                  <c:v>-7.9793814433088528E-2</c:v>
                </c:pt>
                <c:pt idx="215">
                  <c:v>-0.1397938144330837</c:v>
                </c:pt>
                <c:pt idx="216">
                  <c:v>-0.1397938144330837</c:v>
                </c:pt>
                <c:pt idx="217">
                  <c:v>-0.1397938144330837</c:v>
                </c:pt>
                <c:pt idx="218">
                  <c:v>-0.1397938144330837</c:v>
                </c:pt>
                <c:pt idx="219">
                  <c:v>-0.1397938144330837</c:v>
                </c:pt>
                <c:pt idx="220">
                  <c:v>-7.9793814433088528E-2</c:v>
                </c:pt>
                <c:pt idx="221">
                  <c:v>-0.1397938144330837</c:v>
                </c:pt>
                <c:pt idx="222">
                  <c:v>-0.1397938144330837</c:v>
                </c:pt>
                <c:pt idx="223">
                  <c:v>-0.20979381443308398</c:v>
                </c:pt>
                <c:pt idx="224">
                  <c:v>-0.26979381443308625</c:v>
                </c:pt>
                <c:pt idx="225">
                  <c:v>-0.26979381443308625</c:v>
                </c:pt>
                <c:pt idx="226">
                  <c:v>-0.26979381443308625</c:v>
                </c:pt>
                <c:pt idx="227">
                  <c:v>-0.26979381443308625</c:v>
                </c:pt>
                <c:pt idx="228">
                  <c:v>-0.26979381443308625</c:v>
                </c:pt>
                <c:pt idx="229">
                  <c:v>-0.20979381443308398</c:v>
                </c:pt>
                <c:pt idx="230">
                  <c:v>-0.1397938144330837</c:v>
                </c:pt>
                <c:pt idx="231">
                  <c:v>-0.1397938144330837</c:v>
                </c:pt>
                <c:pt idx="232">
                  <c:v>-0.1397938144330837</c:v>
                </c:pt>
                <c:pt idx="233">
                  <c:v>-7.9793814433088528E-2</c:v>
                </c:pt>
                <c:pt idx="234">
                  <c:v>-7.9793814433088528E-2</c:v>
                </c:pt>
                <c:pt idx="235">
                  <c:v>-1.9793814433086254E-2</c:v>
                </c:pt>
                <c:pt idx="236">
                  <c:v>-1.9793814433086254E-2</c:v>
                </c:pt>
                <c:pt idx="237">
                  <c:v>-1.9793814433086254E-2</c:v>
                </c:pt>
                <c:pt idx="238">
                  <c:v>-1.9793814433086254E-2</c:v>
                </c:pt>
                <c:pt idx="239">
                  <c:v>-1.9793814433086254E-2</c:v>
                </c:pt>
                <c:pt idx="240">
                  <c:v>-7.9793814433088528E-2</c:v>
                </c:pt>
                <c:pt idx="241">
                  <c:v>-7.9793814433088528E-2</c:v>
                </c:pt>
                <c:pt idx="242">
                  <c:v>-7.9793814433088528E-2</c:v>
                </c:pt>
                <c:pt idx="243">
                  <c:v>-1.9793814433086254E-2</c:v>
                </c:pt>
                <c:pt idx="244">
                  <c:v>-7.9793814433088528E-2</c:v>
                </c:pt>
                <c:pt idx="245">
                  <c:v>-1.9793814433086254E-2</c:v>
                </c:pt>
                <c:pt idx="246">
                  <c:v>-7.9793814433088528E-2</c:v>
                </c:pt>
                <c:pt idx="247">
                  <c:v>-7.9793814433088528E-2</c:v>
                </c:pt>
                <c:pt idx="248">
                  <c:v>-0.1397938144330837</c:v>
                </c:pt>
                <c:pt idx="249">
                  <c:v>-0.1397938144330837</c:v>
                </c:pt>
                <c:pt idx="250">
                  <c:v>-0.20979381443308398</c:v>
                </c:pt>
                <c:pt idx="251">
                  <c:v>-0.20979381443308398</c:v>
                </c:pt>
                <c:pt idx="252">
                  <c:v>-0.20979381443308398</c:v>
                </c:pt>
                <c:pt idx="253">
                  <c:v>-0.20979381443308398</c:v>
                </c:pt>
                <c:pt idx="254">
                  <c:v>-0.20979381443308398</c:v>
                </c:pt>
                <c:pt idx="255">
                  <c:v>-0.1397938144330837</c:v>
                </c:pt>
                <c:pt idx="256">
                  <c:v>-0.1397938144330837</c:v>
                </c:pt>
                <c:pt idx="257">
                  <c:v>-0.1397938144330837</c:v>
                </c:pt>
                <c:pt idx="258">
                  <c:v>-7.9793814433088528E-2</c:v>
                </c:pt>
                <c:pt idx="259">
                  <c:v>-7.9793814433088528E-2</c:v>
                </c:pt>
                <c:pt idx="260">
                  <c:v>-7.9793814433088528E-2</c:v>
                </c:pt>
                <c:pt idx="261">
                  <c:v>-7.9793814433088528E-2</c:v>
                </c:pt>
                <c:pt idx="262">
                  <c:v>-7.9793814433088528E-2</c:v>
                </c:pt>
                <c:pt idx="263">
                  <c:v>-7.9793814433088528E-2</c:v>
                </c:pt>
                <c:pt idx="264">
                  <c:v>-1.9793814433086254E-2</c:v>
                </c:pt>
                <c:pt idx="265">
                  <c:v>-1.9793814433086254E-2</c:v>
                </c:pt>
                <c:pt idx="266">
                  <c:v>-1.9793814433086254E-2</c:v>
                </c:pt>
                <c:pt idx="267">
                  <c:v>-1.9793814433086254E-2</c:v>
                </c:pt>
                <c:pt idx="268">
                  <c:v>-1.9793814433086254E-2</c:v>
                </c:pt>
                <c:pt idx="269">
                  <c:v>-1.9793814433086254E-2</c:v>
                </c:pt>
                <c:pt idx="270">
                  <c:v>-7.9793814433088528E-2</c:v>
                </c:pt>
                <c:pt idx="271">
                  <c:v>-1.9793814433086254E-2</c:v>
                </c:pt>
                <c:pt idx="272">
                  <c:v>-1.9793814433086254E-2</c:v>
                </c:pt>
                <c:pt idx="273">
                  <c:v>4.020618556691602E-2</c:v>
                </c:pt>
                <c:pt idx="274">
                  <c:v>4.020618556691602E-2</c:v>
                </c:pt>
                <c:pt idx="275">
                  <c:v>4.020618556691602E-2</c:v>
                </c:pt>
                <c:pt idx="276">
                  <c:v>-1.9793814433086254E-2</c:v>
                </c:pt>
                <c:pt idx="277">
                  <c:v>-1.9793814433086254E-2</c:v>
                </c:pt>
                <c:pt idx="278">
                  <c:v>-7.9793814433088528E-2</c:v>
                </c:pt>
                <c:pt idx="279">
                  <c:v>-1.9793814433086254E-2</c:v>
                </c:pt>
                <c:pt idx="280">
                  <c:v>-1.9793814433086254E-2</c:v>
                </c:pt>
                <c:pt idx="281">
                  <c:v>-1.9793814433086254E-2</c:v>
                </c:pt>
                <c:pt idx="282">
                  <c:v>4.020618556691602E-2</c:v>
                </c:pt>
                <c:pt idx="283">
                  <c:v>4.020618556691602E-2</c:v>
                </c:pt>
                <c:pt idx="284">
                  <c:v>0.1102061855669163</c:v>
                </c:pt>
                <c:pt idx="285">
                  <c:v>0.1102061855669163</c:v>
                </c:pt>
                <c:pt idx="286">
                  <c:v>4.020618556691602E-2</c:v>
                </c:pt>
                <c:pt idx="287">
                  <c:v>0.1102061855669163</c:v>
                </c:pt>
                <c:pt idx="288">
                  <c:v>0.1102061855669163</c:v>
                </c:pt>
                <c:pt idx="289">
                  <c:v>0.1102061855669163</c:v>
                </c:pt>
                <c:pt idx="290">
                  <c:v>0.1102061855669163</c:v>
                </c:pt>
                <c:pt idx="291">
                  <c:v>4.020618556691602E-2</c:v>
                </c:pt>
                <c:pt idx="292">
                  <c:v>4.020618556691602E-2</c:v>
                </c:pt>
                <c:pt idx="293">
                  <c:v>4.020618556691602E-2</c:v>
                </c:pt>
                <c:pt idx="294">
                  <c:v>0.1102061855669163</c:v>
                </c:pt>
                <c:pt idx="295">
                  <c:v>0.1102061855669163</c:v>
                </c:pt>
                <c:pt idx="296">
                  <c:v>0.17020618556691147</c:v>
                </c:pt>
                <c:pt idx="297">
                  <c:v>0.17020618556691147</c:v>
                </c:pt>
                <c:pt idx="298">
                  <c:v>0.17020618556691147</c:v>
                </c:pt>
                <c:pt idx="299">
                  <c:v>0.1102061855669163</c:v>
                </c:pt>
                <c:pt idx="300">
                  <c:v>0.1102061855669163</c:v>
                </c:pt>
                <c:pt idx="301">
                  <c:v>0.1102061855669163</c:v>
                </c:pt>
                <c:pt idx="302">
                  <c:v>0.1102061855669163</c:v>
                </c:pt>
                <c:pt idx="303">
                  <c:v>0.1102061855669163</c:v>
                </c:pt>
                <c:pt idx="304">
                  <c:v>0.1102061855669163</c:v>
                </c:pt>
                <c:pt idx="305">
                  <c:v>4.020618556691602E-2</c:v>
                </c:pt>
                <c:pt idx="306">
                  <c:v>4.020618556691602E-2</c:v>
                </c:pt>
                <c:pt idx="307">
                  <c:v>4.020618556691602E-2</c:v>
                </c:pt>
                <c:pt idx="308">
                  <c:v>0.1102061855669163</c:v>
                </c:pt>
                <c:pt idx="309">
                  <c:v>0.1102061855669163</c:v>
                </c:pt>
                <c:pt idx="310">
                  <c:v>0.1102061855669163</c:v>
                </c:pt>
                <c:pt idx="311">
                  <c:v>0.1102061855669163</c:v>
                </c:pt>
                <c:pt idx="312">
                  <c:v>0.1102061855669163</c:v>
                </c:pt>
                <c:pt idx="313">
                  <c:v>0.1102061855669163</c:v>
                </c:pt>
                <c:pt idx="314">
                  <c:v>0.1102061855669163</c:v>
                </c:pt>
                <c:pt idx="315">
                  <c:v>0.17020618556691147</c:v>
                </c:pt>
                <c:pt idx="316">
                  <c:v>0.1102061855669163</c:v>
                </c:pt>
                <c:pt idx="317">
                  <c:v>0.1102061855669163</c:v>
                </c:pt>
                <c:pt idx="318">
                  <c:v>0.1102061855669163</c:v>
                </c:pt>
                <c:pt idx="319">
                  <c:v>0.1102061855669163</c:v>
                </c:pt>
                <c:pt idx="320">
                  <c:v>0.1102061855669163</c:v>
                </c:pt>
                <c:pt idx="321">
                  <c:v>0.1102061855669163</c:v>
                </c:pt>
                <c:pt idx="322">
                  <c:v>0.17020618556691147</c:v>
                </c:pt>
                <c:pt idx="323">
                  <c:v>0.23020618556691375</c:v>
                </c:pt>
                <c:pt idx="324">
                  <c:v>0.29020618556691602</c:v>
                </c:pt>
                <c:pt idx="325">
                  <c:v>0.29020618556691602</c:v>
                </c:pt>
                <c:pt idx="326">
                  <c:v>0.29020618556691602</c:v>
                </c:pt>
                <c:pt idx="327">
                  <c:v>0.29020618556691602</c:v>
                </c:pt>
                <c:pt idx="328">
                  <c:v>0.29020618556691602</c:v>
                </c:pt>
                <c:pt idx="329">
                  <c:v>0.29020618556691602</c:v>
                </c:pt>
                <c:pt idx="330">
                  <c:v>0.3602061855669163</c:v>
                </c:pt>
                <c:pt idx="331">
                  <c:v>0.3602061855669163</c:v>
                </c:pt>
                <c:pt idx="332">
                  <c:v>0.42020618556691147</c:v>
                </c:pt>
                <c:pt idx="333">
                  <c:v>0.42020618556691147</c:v>
                </c:pt>
                <c:pt idx="334">
                  <c:v>0.42020618556691147</c:v>
                </c:pt>
                <c:pt idx="335">
                  <c:v>0.48020618556691375</c:v>
                </c:pt>
                <c:pt idx="336">
                  <c:v>0.48020618556691375</c:v>
                </c:pt>
                <c:pt idx="337">
                  <c:v>0.48020618556691375</c:v>
                </c:pt>
                <c:pt idx="338">
                  <c:v>0.48020618556691375</c:v>
                </c:pt>
                <c:pt idx="339">
                  <c:v>0.42020618556691147</c:v>
                </c:pt>
                <c:pt idx="340">
                  <c:v>0.42020618556691147</c:v>
                </c:pt>
                <c:pt idx="341">
                  <c:v>0.42020618556691147</c:v>
                </c:pt>
                <c:pt idx="342">
                  <c:v>0.3602061855669163</c:v>
                </c:pt>
                <c:pt idx="343">
                  <c:v>0.42020618556691147</c:v>
                </c:pt>
                <c:pt idx="344">
                  <c:v>0.42020618556691147</c:v>
                </c:pt>
                <c:pt idx="345">
                  <c:v>0.42020618556691147</c:v>
                </c:pt>
                <c:pt idx="346">
                  <c:v>0.42020618556691147</c:v>
                </c:pt>
                <c:pt idx="347">
                  <c:v>0.42020618556691147</c:v>
                </c:pt>
                <c:pt idx="348">
                  <c:v>0.42020618556691147</c:v>
                </c:pt>
                <c:pt idx="349">
                  <c:v>0.48020618556691375</c:v>
                </c:pt>
                <c:pt idx="350">
                  <c:v>0.42020618556691147</c:v>
                </c:pt>
                <c:pt idx="351">
                  <c:v>0.42020618556691147</c:v>
                </c:pt>
                <c:pt idx="352">
                  <c:v>0.42020618556691147</c:v>
                </c:pt>
                <c:pt idx="353">
                  <c:v>0.3602061855669163</c:v>
                </c:pt>
                <c:pt idx="354">
                  <c:v>0.3602061855669163</c:v>
                </c:pt>
                <c:pt idx="355">
                  <c:v>0.3602061855669163</c:v>
                </c:pt>
                <c:pt idx="356">
                  <c:v>0.29020618556691602</c:v>
                </c:pt>
                <c:pt idx="357">
                  <c:v>0.29020618556691602</c:v>
                </c:pt>
                <c:pt idx="358">
                  <c:v>0.29020618556691602</c:v>
                </c:pt>
                <c:pt idx="359">
                  <c:v>0.29020618556691602</c:v>
                </c:pt>
                <c:pt idx="360">
                  <c:v>0.29020618556691602</c:v>
                </c:pt>
                <c:pt idx="361">
                  <c:v>0.23020618556691375</c:v>
                </c:pt>
                <c:pt idx="362">
                  <c:v>0.23020618556691375</c:v>
                </c:pt>
                <c:pt idx="363">
                  <c:v>0.23020618556691375</c:v>
                </c:pt>
                <c:pt idx="364">
                  <c:v>0.29020618556691602</c:v>
                </c:pt>
                <c:pt idx="365">
                  <c:v>0.3602061855669163</c:v>
                </c:pt>
                <c:pt idx="366">
                  <c:v>0.3602061855669163</c:v>
                </c:pt>
                <c:pt idx="367">
                  <c:v>0.3602061855669163</c:v>
                </c:pt>
                <c:pt idx="368">
                  <c:v>0.42020618556691147</c:v>
                </c:pt>
                <c:pt idx="369">
                  <c:v>0.42020618556691147</c:v>
                </c:pt>
                <c:pt idx="370">
                  <c:v>0.42020618556691147</c:v>
                </c:pt>
                <c:pt idx="371">
                  <c:v>0.48020618556691375</c:v>
                </c:pt>
                <c:pt idx="372">
                  <c:v>0.42020618556691147</c:v>
                </c:pt>
                <c:pt idx="373">
                  <c:v>0.42020618556691147</c:v>
                </c:pt>
                <c:pt idx="374">
                  <c:v>0.42020618556691147</c:v>
                </c:pt>
                <c:pt idx="375">
                  <c:v>0.42020618556691147</c:v>
                </c:pt>
                <c:pt idx="376">
                  <c:v>0.3602061855669163</c:v>
                </c:pt>
                <c:pt idx="377">
                  <c:v>0.3602061855669163</c:v>
                </c:pt>
                <c:pt idx="378">
                  <c:v>0.3602061855669163</c:v>
                </c:pt>
                <c:pt idx="379">
                  <c:v>0.3602061855669163</c:v>
                </c:pt>
                <c:pt idx="380">
                  <c:v>0.29020618556691602</c:v>
                </c:pt>
                <c:pt idx="381">
                  <c:v>0.29020618556691602</c:v>
                </c:pt>
                <c:pt idx="382">
                  <c:v>0.29020618556691602</c:v>
                </c:pt>
                <c:pt idx="383">
                  <c:v>0.29020618556691602</c:v>
                </c:pt>
                <c:pt idx="384">
                  <c:v>0.23020618556691375</c:v>
                </c:pt>
                <c:pt idx="385">
                  <c:v>0.23020618556691375</c:v>
                </c:pt>
                <c:pt idx="386">
                  <c:v>0.29020618556691602</c:v>
                </c:pt>
                <c:pt idx="387">
                  <c:v>0.29020618556691602</c:v>
                </c:pt>
                <c:pt idx="388">
                  <c:v>0.23020618556691375</c:v>
                </c:pt>
                <c:pt idx="389">
                  <c:v>0.23020618556691375</c:v>
                </c:pt>
                <c:pt idx="390">
                  <c:v>0.23020618556691375</c:v>
                </c:pt>
                <c:pt idx="391">
                  <c:v>0.17020618556691147</c:v>
                </c:pt>
                <c:pt idx="392">
                  <c:v>0.17020618556691147</c:v>
                </c:pt>
                <c:pt idx="393">
                  <c:v>0.17020618556691147</c:v>
                </c:pt>
                <c:pt idx="394">
                  <c:v>0.1102061855669163</c:v>
                </c:pt>
                <c:pt idx="395">
                  <c:v>0.1102061855669163</c:v>
                </c:pt>
                <c:pt idx="396">
                  <c:v>0.1102061855669163</c:v>
                </c:pt>
                <c:pt idx="397">
                  <c:v>0.1102061855669163</c:v>
                </c:pt>
                <c:pt idx="398">
                  <c:v>0.1102061855669163</c:v>
                </c:pt>
                <c:pt idx="399">
                  <c:v>0.1102061855669163</c:v>
                </c:pt>
                <c:pt idx="400">
                  <c:v>4.020618556691602E-2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9AA-4474-BFCD-2F194B97DC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9319232"/>
        <c:axId val="1769323552"/>
      </c:scatterChart>
      <c:valAx>
        <c:axId val="1769319232"/>
        <c:scaling>
          <c:orientation val="minMax"/>
          <c:max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9323552"/>
        <c:crosses val="autoZero"/>
        <c:crossBetween val="midCat"/>
      </c:valAx>
      <c:valAx>
        <c:axId val="1769323552"/>
        <c:scaling>
          <c:orientation val="minMax"/>
          <c:max val="0.5"/>
          <c:min val="-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Deviation from</a:t>
                </a:r>
                <a:r>
                  <a:rPr lang="en-GB" baseline="0"/>
                  <a:t> Mean (°C)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9319232"/>
        <c:crosses val="autoZero"/>
        <c:crossBetween val="midCat"/>
        <c:majorUnit val="0.25"/>
        <c:minorUnit val="5.000000000000001E-2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Digital Sensor Precision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Cold Temperature Precision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1.3986100239151301E-2"/>
                  <c:y val="2.313673665620594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9EF-4AC5-B872-CA831B60DF1E}"/>
                </c:ext>
              </c:extLst>
            </c:dLbl>
            <c:dLbl>
              <c:idx val="1"/>
              <c:layout>
                <c:manualLayout>
                  <c:x val="-1.9580540334811873E-2"/>
                  <c:y val="2.313673665620594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9EF-4AC5-B872-CA831B60DF1E}"/>
                </c:ext>
              </c:extLst>
            </c:dLbl>
            <c:dLbl>
              <c:idx val="2"/>
              <c:layout>
                <c:manualLayout>
                  <c:x val="-1.4045702688908189E-2"/>
                  <c:y val="-1.429552875131137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9EF-4AC5-B872-CA831B60DF1E}"/>
                </c:ext>
              </c:extLst>
            </c:dLbl>
            <c:dLbl>
              <c:idx val="3"/>
              <c:layout>
                <c:manualLayout>
                  <c:x val="-8.5609554535481261E-2"/>
                  <c:y val="-5.439910469904156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A9EF-4AC5-B872-CA831B60DF1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  <a:alpha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Sheet1!$AJ$83:$AJ$86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xVal>
          <c:yVal>
            <c:numRef>
              <c:f>Sheet1!$AK$83:$AK$86</c:f>
              <c:numCache>
                <c:formatCode>General</c:formatCode>
                <c:ptCount val="4"/>
                <c:pt idx="0">
                  <c:v>5.19</c:v>
                </c:pt>
                <c:pt idx="1">
                  <c:v>4.9400000000000004</c:v>
                </c:pt>
                <c:pt idx="2">
                  <c:v>5</c:v>
                </c:pt>
                <c:pt idx="3">
                  <c:v>5.0599999999999996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9EF-4AC5-B872-CA831B60DF1E}"/>
            </c:ext>
          </c:extLst>
        </c:ser>
        <c:ser>
          <c:idx val="2"/>
          <c:order val="2"/>
          <c:tx>
            <c:v>Initial Readings (4.94C &amp; 42.19C)</c:v>
          </c:tx>
          <c:spPr>
            <a:ln w="12700" cap="rnd">
              <a:solidFill>
                <a:schemeClr val="tx1">
                  <a:alpha val="3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Sheet1!$AR$88:$AR$89</c:f>
              <c:numCache>
                <c:formatCode>General</c:formatCode>
                <c:ptCount val="2"/>
                <c:pt idx="0">
                  <c:v>1</c:v>
                </c:pt>
                <c:pt idx="1">
                  <c:v>4</c:v>
                </c:pt>
              </c:numCache>
            </c:numRef>
          </c:xVal>
          <c:yVal>
            <c:numRef>
              <c:f>Sheet1!$AS$88:$AS$89</c:f>
              <c:numCache>
                <c:formatCode>General</c:formatCode>
                <c:ptCount val="2"/>
                <c:pt idx="0">
                  <c:v>4.9400000000000004</c:v>
                </c:pt>
                <c:pt idx="1">
                  <c:v>4.9400000000000004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9EF-4AC5-B872-CA831B60DF1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923535040"/>
        <c:axId val="1533274864"/>
      </c:scatterChart>
      <c:scatterChart>
        <c:scatterStyle val="lineMarker"/>
        <c:varyColors val="0"/>
        <c:ser>
          <c:idx val="1"/>
          <c:order val="1"/>
          <c:tx>
            <c:v>Hot Temperature Precision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1.957371247485255E-2"/>
                  <c:y val="2.313272871757250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9EF-4AC5-B872-CA831B60DF1E}"/>
                </c:ext>
              </c:extLst>
            </c:dLbl>
            <c:dLbl>
              <c:idx val="1"/>
              <c:layout>
                <c:manualLayout>
                  <c:x val="-1.3986100239151353E-2"/>
                  <c:y val="1.850938932496475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9EF-4AC5-B872-CA831B60DF1E}"/>
                </c:ext>
              </c:extLst>
            </c:dLbl>
            <c:dLbl>
              <c:idx val="2"/>
              <c:layout>
                <c:manualLayout>
                  <c:x val="-1.9580540334811821E-2"/>
                  <c:y val="-2.77640839874472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A9EF-4AC5-B872-CA831B60DF1E}"/>
                </c:ext>
              </c:extLst>
            </c:dLbl>
            <c:dLbl>
              <c:idx val="3"/>
              <c:layout>
                <c:manualLayout>
                  <c:x val="-9.5077570154165944E-2"/>
                  <c:y val="-8.5712787177858093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9EF-4AC5-B872-CA831B60DF1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  <a:alpha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Sheet1!$AO$83:$AO$86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xVal>
          <c:yVal>
            <c:numRef>
              <c:f>Sheet1!$AP$83:$AP$86</c:f>
              <c:numCache>
                <c:formatCode>General</c:formatCode>
                <c:ptCount val="4"/>
                <c:pt idx="0">
                  <c:v>42.19</c:v>
                </c:pt>
                <c:pt idx="1">
                  <c:v>42.06</c:v>
                </c:pt>
                <c:pt idx="2">
                  <c:v>42</c:v>
                </c:pt>
                <c:pt idx="3">
                  <c:v>42.25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9EF-4AC5-B872-CA831B60DF1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531336144"/>
        <c:axId val="1362555519"/>
      </c:scatterChart>
      <c:valAx>
        <c:axId val="1923535040"/>
        <c:scaling>
          <c:orientation val="minMax"/>
          <c:max val="4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Repeat</a:t>
                </a:r>
                <a:r>
                  <a:rPr lang="en-GB" baseline="0"/>
                  <a:t> Reading Number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3274864"/>
        <c:crosses val="autoZero"/>
        <c:crossBetween val="midCat"/>
        <c:majorUnit val="1"/>
        <c:minorUnit val="1"/>
      </c:valAx>
      <c:valAx>
        <c:axId val="1533274864"/>
        <c:scaling>
          <c:orientation val="minMax"/>
          <c:max val="5.1899999999999995"/>
          <c:min val="4.689999999999999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Temperature</a:t>
                </a:r>
                <a:r>
                  <a:rPr lang="en-GB" baseline="0"/>
                  <a:t> (°C)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3535040"/>
        <c:crosses val="autoZero"/>
        <c:crossBetween val="midCat"/>
      </c:valAx>
      <c:valAx>
        <c:axId val="1362555519"/>
        <c:scaling>
          <c:orientation val="minMax"/>
          <c:max val="42.379999999999995"/>
          <c:min val="42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Temperature</a:t>
                </a:r>
                <a:r>
                  <a:rPr lang="en-GB" baseline="0"/>
                  <a:t> (°C)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1336144"/>
        <c:crosses val="max"/>
        <c:crossBetween val="midCat"/>
      </c:valAx>
      <c:valAx>
        <c:axId val="15313361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625555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312507</xdr:colOff>
      <xdr:row>3</xdr:row>
      <xdr:rowOff>11768</xdr:rowOff>
    </xdr:from>
    <xdr:to>
      <xdr:col>14</xdr:col>
      <xdr:colOff>551272</xdr:colOff>
      <xdr:row>22</xdr:row>
      <xdr:rowOff>157214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A4EFAD65-AAD8-D8A2-CA4F-AE3F8CE50B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20</xdr:col>
      <xdr:colOff>7331</xdr:colOff>
      <xdr:row>5</xdr:row>
      <xdr:rowOff>132150</xdr:rowOff>
    </xdr:from>
    <xdr:to>
      <xdr:col>29</xdr:col>
      <xdr:colOff>336863</xdr:colOff>
      <xdr:row>22</xdr:row>
      <xdr:rowOff>158751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4FD6506-B663-69BC-37D7-A438A7AC62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041542" y="867413"/>
          <a:ext cx="6194926" cy="3151469"/>
        </a:xfrm>
        <a:prstGeom prst="rect">
          <a:avLst/>
        </a:prstGeom>
      </xdr:spPr>
    </xdr:pic>
    <xdr:clientData/>
  </xdr:twoCellAnchor>
  <xdr:twoCellAnchor>
    <xdr:from>
      <xdr:col>3</xdr:col>
      <xdr:colOff>393822</xdr:colOff>
      <xdr:row>74</xdr:row>
      <xdr:rowOff>46568</xdr:rowOff>
    </xdr:from>
    <xdr:to>
      <xdr:col>9</xdr:col>
      <xdr:colOff>107919</xdr:colOff>
      <xdr:row>88</xdr:row>
      <xdr:rowOff>66069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0CC329-DC3F-61E7-14A4-2376F1471D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383963</xdr:colOff>
      <xdr:row>70</xdr:row>
      <xdr:rowOff>167492</xdr:rowOff>
    </xdr:from>
    <xdr:to>
      <xdr:col>27</xdr:col>
      <xdr:colOff>448805</xdr:colOff>
      <xdr:row>85</xdr:row>
      <xdr:rowOff>51794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5658A37-925C-ED21-C69A-0DECADA9AC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35</xdr:col>
      <xdr:colOff>237855</xdr:colOff>
      <xdr:row>63</xdr:row>
      <xdr:rowOff>109420</xdr:rowOff>
    </xdr:from>
    <xdr:to>
      <xdr:col>42</xdr:col>
      <xdr:colOff>142876</xdr:colOff>
      <xdr:row>78</xdr:row>
      <xdr:rowOff>111713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AB3921C-1F6C-E906-F1FD-0369A892E4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7A47A-A3A5-44BF-9E5D-451B6CF9DA64}">
  <dimension ref="A1:AU566"/>
  <sheetViews>
    <sheetView tabSelected="1" topLeftCell="A35" zoomScale="60" zoomScaleNormal="124" workbookViewId="0">
      <selection activeCell="AO94" sqref="AO94"/>
    </sheetView>
  </sheetViews>
  <sheetFormatPr defaultRowHeight="14.25" x14ac:dyDescent="0.45"/>
  <sheetData>
    <row r="1" spans="1:10" x14ac:dyDescent="0.45">
      <c r="A1" s="1" t="s">
        <v>26</v>
      </c>
      <c r="E1" s="1" t="s">
        <v>27</v>
      </c>
    </row>
    <row r="2" spans="1:10" x14ac:dyDescent="0.45">
      <c r="A2" s="1" t="s">
        <v>0</v>
      </c>
      <c r="B2" s="1" t="s">
        <v>1</v>
      </c>
      <c r="C2" s="1" t="s">
        <v>3</v>
      </c>
      <c r="E2" s="1" t="s">
        <v>0</v>
      </c>
      <c r="F2" s="1" t="s">
        <v>1</v>
      </c>
      <c r="G2" s="1" t="s">
        <v>3</v>
      </c>
      <c r="I2">
        <v>0.06</v>
      </c>
      <c r="J2" t="s">
        <v>2</v>
      </c>
    </row>
    <row r="3" spans="1:10" x14ac:dyDescent="0.45">
      <c r="A3">
        <v>0.8</v>
      </c>
      <c r="B3">
        <v>3.69</v>
      </c>
      <c r="C3">
        <f>(B3-A3)</f>
        <v>2.8899999999999997</v>
      </c>
      <c r="E3">
        <v>0.1</v>
      </c>
      <c r="F3">
        <v>2.63</v>
      </c>
      <c r="G3">
        <f>(F3-E3)</f>
        <v>2.5299999999999998</v>
      </c>
    </row>
    <row r="4" spans="1:10" x14ac:dyDescent="0.45">
      <c r="A4">
        <v>1.6</v>
      </c>
      <c r="B4">
        <v>4.38</v>
      </c>
      <c r="C4">
        <f t="shared" ref="C4:C23" si="0">(B4-A4)</f>
        <v>2.78</v>
      </c>
      <c r="E4">
        <v>0.5</v>
      </c>
      <c r="F4">
        <v>3</v>
      </c>
      <c r="G4">
        <f t="shared" ref="G4:G21" si="1">(F4-E4)</f>
        <v>2.5</v>
      </c>
    </row>
    <row r="5" spans="1:10" x14ac:dyDescent="0.45">
      <c r="A5">
        <v>2</v>
      </c>
      <c r="B5">
        <v>4.6900000000000004</v>
      </c>
      <c r="C5">
        <f t="shared" si="0"/>
        <v>2.6900000000000004</v>
      </c>
      <c r="E5">
        <v>1.1000000000000001</v>
      </c>
      <c r="F5">
        <v>3.5</v>
      </c>
      <c r="G5">
        <f t="shared" si="1"/>
        <v>2.4</v>
      </c>
    </row>
    <row r="6" spans="1:10" x14ac:dyDescent="0.45">
      <c r="A6">
        <v>3.2</v>
      </c>
      <c r="B6">
        <v>5.63</v>
      </c>
      <c r="C6">
        <f t="shared" si="0"/>
        <v>2.4299999999999997</v>
      </c>
      <c r="E6">
        <v>2</v>
      </c>
      <c r="F6">
        <v>4.3099999999999996</v>
      </c>
      <c r="G6">
        <f t="shared" si="1"/>
        <v>2.3099999999999996</v>
      </c>
    </row>
    <row r="7" spans="1:10" x14ac:dyDescent="0.45">
      <c r="A7">
        <v>4</v>
      </c>
      <c r="B7">
        <v>6.31</v>
      </c>
      <c r="C7">
        <f t="shared" si="0"/>
        <v>2.3099999999999996</v>
      </c>
      <c r="E7">
        <v>2.9</v>
      </c>
      <c r="F7">
        <v>5</v>
      </c>
      <c r="G7">
        <f t="shared" si="1"/>
        <v>2.1</v>
      </c>
    </row>
    <row r="8" spans="1:10" x14ac:dyDescent="0.45">
      <c r="A8">
        <v>4.9000000000000004</v>
      </c>
      <c r="B8">
        <v>7.06</v>
      </c>
      <c r="C8">
        <f t="shared" si="0"/>
        <v>2.1599999999999993</v>
      </c>
      <c r="E8">
        <v>3.9</v>
      </c>
      <c r="F8">
        <v>5.94</v>
      </c>
      <c r="G8">
        <f t="shared" si="1"/>
        <v>2.0400000000000005</v>
      </c>
    </row>
    <row r="9" spans="1:10" x14ac:dyDescent="0.45">
      <c r="A9">
        <v>6.2</v>
      </c>
      <c r="B9">
        <v>8.19</v>
      </c>
      <c r="C9">
        <f t="shared" si="0"/>
        <v>1.9899999999999993</v>
      </c>
      <c r="E9">
        <v>4.9000000000000004</v>
      </c>
      <c r="F9">
        <v>6.75</v>
      </c>
      <c r="G9">
        <f t="shared" si="1"/>
        <v>1.8499999999999996</v>
      </c>
    </row>
    <row r="10" spans="1:10" x14ac:dyDescent="0.45">
      <c r="A10">
        <v>7</v>
      </c>
      <c r="B10">
        <v>8.81</v>
      </c>
      <c r="C10">
        <f t="shared" si="0"/>
        <v>1.8100000000000005</v>
      </c>
      <c r="E10">
        <v>6</v>
      </c>
      <c r="F10">
        <v>7.75</v>
      </c>
      <c r="G10">
        <f t="shared" si="1"/>
        <v>1.75</v>
      </c>
    </row>
    <row r="11" spans="1:10" x14ac:dyDescent="0.45">
      <c r="A11">
        <v>8.1999999999999993</v>
      </c>
      <c r="B11">
        <v>9.81</v>
      </c>
      <c r="C11">
        <f t="shared" si="0"/>
        <v>1.6100000000000012</v>
      </c>
      <c r="E11">
        <v>7</v>
      </c>
      <c r="F11">
        <v>8.6300000000000008</v>
      </c>
      <c r="G11">
        <f t="shared" si="1"/>
        <v>1.6300000000000008</v>
      </c>
    </row>
    <row r="12" spans="1:10" x14ac:dyDescent="0.45">
      <c r="A12">
        <v>9.3000000000000007</v>
      </c>
      <c r="B12">
        <v>10.75</v>
      </c>
      <c r="C12">
        <f t="shared" si="0"/>
        <v>1.4499999999999993</v>
      </c>
      <c r="E12">
        <v>7.9</v>
      </c>
      <c r="F12">
        <v>9.3800000000000008</v>
      </c>
      <c r="G12">
        <f t="shared" si="1"/>
        <v>1.4800000000000004</v>
      </c>
    </row>
    <row r="13" spans="1:10" x14ac:dyDescent="0.45">
      <c r="A13">
        <v>10.6</v>
      </c>
      <c r="B13">
        <v>11.81</v>
      </c>
      <c r="C13">
        <f t="shared" si="0"/>
        <v>1.2100000000000009</v>
      </c>
      <c r="E13">
        <v>9</v>
      </c>
      <c r="F13">
        <v>10.38</v>
      </c>
      <c r="G13">
        <f t="shared" si="1"/>
        <v>1.3800000000000008</v>
      </c>
    </row>
    <row r="14" spans="1:10" x14ac:dyDescent="0.45">
      <c r="A14">
        <v>11.6</v>
      </c>
      <c r="B14">
        <v>12.69</v>
      </c>
      <c r="C14">
        <f t="shared" si="0"/>
        <v>1.0899999999999999</v>
      </c>
      <c r="E14">
        <v>10</v>
      </c>
      <c r="F14">
        <v>11.19</v>
      </c>
      <c r="G14">
        <f t="shared" si="1"/>
        <v>1.1899999999999995</v>
      </c>
    </row>
    <row r="15" spans="1:10" x14ac:dyDescent="0.45">
      <c r="A15">
        <v>12.2</v>
      </c>
      <c r="B15">
        <v>13.19</v>
      </c>
      <c r="C15">
        <f t="shared" si="0"/>
        <v>0.99000000000000021</v>
      </c>
      <c r="E15">
        <v>11</v>
      </c>
      <c r="F15">
        <v>12</v>
      </c>
      <c r="G15">
        <f t="shared" si="1"/>
        <v>1</v>
      </c>
    </row>
    <row r="16" spans="1:10" x14ac:dyDescent="0.45">
      <c r="A16">
        <v>13.3</v>
      </c>
      <c r="B16">
        <v>14.25</v>
      </c>
      <c r="C16">
        <f t="shared" si="0"/>
        <v>0.94999999999999929</v>
      </c>
      <c r="E16">
        <v>11.8</v>
      </c>
      <c r="F16">
        <v>12.69</v>
      </c>
      <c r="G16">
        <f t="shared" si="1"/>
        <v>0.88999999999999879</v>
      </c>
    </row>
    <row r="17" spans="1:7" x14ac:dyDescent="0.45">
      <c r="A17">
        <v>14.3</v>
      </c>
      <c r="B17">
        <v>14.94</v>
      </c>
      <c r="C17">
        <f t="shared" si="0"/>
        <v>0.63999999999999879</v>
      </c>
      <c r="E17">
        <v>13</v>
      </c>
      <c r="F17">
        <v>13.75</v>
      </c>
      <c r="G17">
        <f>(F17-E17)</f>
        <v>0.75</v>
      </c>
    </row>
    <row r="18" spans="1:7" x14ac:dyDescent="0.45">
      <c r="A18">
        <v>15.2</v>
      </c>
      <c r="B18">
        <v>15.69</v>
      </c>
      <c r="C18">
        <f t="shared" si="0"/>
        <v>0.49000000000000021</v>
      </c>
      <c r="E18">
        <v>14</v>
      </c>
      <c r="F18">
        <v>14.63</v>
      </c>
      <c r="G18">
        <f t="shared" si="1"/>
        <v>0.63000000000000078</v>
      </c>
    </row>
    <row r="19" spans="1:7" x14ac:dyDescent="0.45">
      <c r="A19">
        <v>16.2</v>
      </c>
      <c r="B19">
        <v>16.5</v>
      </c>
      <c r="C19">
        <f t="shared" si="0"/>
        <v>0.30000000000000071</v>
      </c>
      <c r="E19">
        <v>15.3</v>
      </c>
      <c r="F19">
        <v>15.75</v>
      </c>
      <c r="G19">
        <f t="shared" si="1"/>
        <v>0.44999999999999929</v>
      </c>
    </row>
    <row r="20" spans="1:7" x14ac:dyDescent="0.45">
      <c r="A20">
        <v>16.8</v>
      </c>
      <c r="B20">
        <v>17</v>
      </c>
      <c r="C20">
        <f t="shared" si="0"/>
        <v>0.19999999999999929</v>
      </c>
      <c r="E20">
        <v>16.5</v>
      </c>
      <c r="F20">
        <v>16.75</v>
      </c>
      <c r="G20">
        <f t="shared" si="1"/>
        <v>0.25</v>
      </c>
    </row>
    <row r="21" spans="1:7" x14ac:dyDescent="0.45">
      <c r="A21">
        <v>17.5</v>
      </c>
      <c r="B21">
        <v>17.62</v>
      </c>
      <c r="C21">
        <f t="shared" si="0"/>
        <v>0.12000000000000099</v>
      </c>
      <c r="E21">
        <v>17.5</v>
      </c>
      <c r="F21">
        <v>17.559999999999999</v>
      </c>
      <c r="G21">
        <f t="shared" si="1"/>
        <v>5.9999999999998721E-2</v>
      </c>
    </row>
    <row r="22" spans="1:7" x14ac:dyDescent="0.45">
      <c r="A22">
        <v>17.8</v>
      </c>
      <c r="B22">
        <v>17.809999999999999</v>
      </c>
      <c r="C22">
        <f t="shared" si="0"/>
        <v>9.9999999999980105E-3</v>
      </c>
    </row>
    <row r="23" spans="1:7" x14ac:dyDescent="0.45">
      <c r="A23">
        <v>17.899999999999999</v>
      </c>
      <c r="B23">
        <v>17.87</v>
      </c>
      <c r="C23">
        <f t="shared" si="0"/>
        <v>-2.9999999999997584E-2</v>
      </c>
    </row>
    <row r="26" spans="1:7" x14ac:dyDescent="0.45">
      <c r="A26" s="1" t="s">
        <v>24</v>
      </c>
      <c r="E26" s="1" t="s">
        <v>25</v>
      </c>
    </row>
    <row r="27" spans="1:7" x14ac:dyDescent="0.45">
      <c r="A27" s="1" t="s">
        <v>0</v>
      </c>
      <c r="B27" s="1" t="s">
        <v>1</v>
      </c>
      <c r="C27" s="1" t="s">
        <v>3</v>
      </c>
      <c r="E27" s="1" t="s">
        <v>0</v>
      </c>
      <c r="F27" s="1" t="s">
        <v>1</v>
      </c>
      <c r="G27" s="1" t="s">
        <v>3</v>
      </c>
    </row>
    <row r="28" spans="1:7" x14ac:dyDescent="0.45">
      <c r="A28">
        <v>18.5</v>
      </c>
      <c r="B28">
        <v>18.440000000000001</v>
      </c>
      <c r="C28">
        <f>(A28-B28)</f>
        <v>5.9999999999998721E-2</v>
      </c>
      <c r="E28">
        <v>25</v>
      </c>
      <c r="F28">
        <v>24.62</v>
      </c>
      <c r="G28">
        <f>(E28-F28)</f>
        <v>0.37999999999999901</v>
      </c>
    </row>
    <row r="29" spans="1:7" x14ac:dyDescent="0.45">
      <c r="A29">
        <v>20</v>
      </c>
      <c r="B29">
        <v>19.87</v>
      </c>
      <c r="C29">
        <f t="shared" ref="C29:C38" si="2">(A29-B29)</f>
        <v>0.12999999999999901</v>
      </c>
      <c r="E29">
        <v>31</v>
      </c>
      <c r="F29">
        <v>30.19</v>
      </c>
      <c r="G29">
        <f t="shared" ref="G29:G35" si="3">(E29-F29)</f>
        <v>0.80999999999999872</v>
      </c>
    </row>
    <row r="30" spans="1:7" x14ac:dyDescent="0.45">
      <c r="A30">
        <v>24.6</v>
      </c>
      <c r="B30">
        <v>24.19</v>
      </c>
      <c r="C30">
        <f t="shared" si="2"/>
        <v>0.41000000000000014</v>
      </c>
      <c r="E30">
        <v>35.9</v>
      </c>
      <c r="F30">
        <v>34.81</v>
      </c>
      <c r="G30">
        <f t="shared" si="3"/>
        <v>1.0899999999999963</v>
      </c>
    </row>
    <row r="31" spans="1:7" x14ac:dyDescent="0.45">
      <c r="A31">
        <v>29.6</v>
      </c>
      <c r="B31">
        <v>29</v>
      </c>
      <c r="C31">
        <f t="shared" si="2"/>
        <v>0.60000000000000142</v>
      </c>
      <c r="E31">
        <v>40</v>
      </c>
      <c r="F31">
        <v>38.69</v>
      </c>
      <c r="G31">
        <f t="shared" si="3"/>
        <v>1.3100000000000023</v>
      </c>
    </row>
    <row r="32" spans="1:7" x14ac:dyDescent="0.45">
      <c r="A32">
        <v>36.5</v>
      </c>
      <c r="B32">
        <v>35.5</v>
      </c>
      <c r="C32">
        <f t="shared" si="2"/>
        <v>1</v>
      </c>
      <c r="E32">
        <v>44</v>
      </c>
      <c r="F32">
        <v>42.31</v>
      </c>
      <c r="G32">
        <f t="shared" si="3"/>
        <v>1.6899999999999977</v>
      </c>
    </row>
    <row r="33" spans="1:21" x14ac:dyDescent="0.45">
      <c r="A33">
        <v>43.4</v>
      </c>
      <c r="B33">
        <v>42</v>
      </c>
      <c r="C33">
        <f t="shared" si="2"/>
        <v>1.3999999999999986</v>
      </c>
      <c r="E33">
        <v>49.5</v>
      </c>
      <c r="F33">
        <v>47.56</v>
      </c>
      <c r="G33">
        <f t="shared" si="3"/>
        <v>1.9399999999999977</v>
      </c>
    </row>
    <row r="34" spans="1:21" x14ac:dyDescent="0.45">
      <c r="A34">
        <v>45.9</v>
      </c>
      <c r="B34">
        <v>44.13</v>
      </c>
      <c r="C34">
        <f t="shared" si="2"/>
        <v>1.769999999999996</v>
      </c>
      <c r="E34">
        <v>53.3</v>
      </c>
      <c r="F34">
        <v>51.06</v>
      </c>
      <c r="G34">
        <f t="shared" si="3"/>
        <v>2.2399999999999949</v>
      </c>
      <c r="L34" t="s">
        <v>5</v>
      </c>
      <c r="P34" t="s">
        <v>4</v>
      </c>
    </row>
    <row r="35" spans="1:21" x14ac:dyDescent="0.45">
      <c r="A35">
        <v>53</v>
      </c>
      <c r="B35">
        <v>50.81</v>
      </c>
      <c r="C35">
        <f t="shared" si="2"/>
        <v>2.1899999999999977</v>
      </c>
      <c r="E35">
        <v>58.8</v>
      </c>
      <c r="F35">
        <v>56.31</v>
      </c>
      <c r="G35">
        <f t="shared" si="3"/>
        <v>2.4899999999999949</v>
      </c>
      <c r="L35" s="1" t="s">
        <v>0</v>
      </c>
      <c r="M35" s="1" t="s">
        <v>1</v>
      </c>
      <c r="N35" s="1" t="s">
        <v>3</v>
      </c>
      <c r="P35" s="1" t="s">
        <v>0</v>
      </c>
      <c r="Q35" s="1" t="s">
        <v>1</v>
      </c>
      <c r="R35" s="1" t="s">
        <v>3</v>
      </c>
      <c r="T35" s="1" t="s">
        <v>6</v>
      </c>
    </row>
    <row r="36" spans="1:21" x14ac:dyDescent="0.45">
      <c r="A36">
        <v>57.8</v>
      </c>
      <c r="B36">
        <v>55.69</v>
      </c>
      <c r="C36">
        <f t="shared" si="2"/>
        <v>2.1099999999999994</v>
      </c>
      <c r="L36">
        <v>0.8</v>
      </c>
      <c r="M36">
        <v>3.69</v>
      </c>
      <c r="N36">
        <f>(M36-L36)</f>
        <v>2.8899999999999997</v>
      </c>
      <c r="P36">
        <v>0.1</v>
      </c>
      <c r="Q36">
        <v>2.63</v>
      </c>
      <c r="R36">
        <f>(Q36-P36)</f>
        <v>2.5299999999999998</v>
      </c>
      <c r="T36">
        <v>0</v>
      </c>
      <c r="U36">
        <v>0</v>
      </c>
    </row>
    <row r="37" spans="1:21" x14ac:dyDescent="0.45">
      <c r="A37">
        <v>60</v>
      </c>
      <c r="B37">
        <v>57.81</v>
      </c>
      <c r="C37">
        <f t="shared" si="2"/>
        <v>2.1899999999999977</v>
      </c>
      <c r="L37">
        <v>1.6</v>
      </c>
      <c r="M37">
        <v>4.38</v>
      </c>
      <c r="N37">
        <f t="shared" ref="N37:N67" si="4">(M37-L37)</f>
        <v>2.78</v>
      </c>
      <c r="P37">
        <v>0.5</v>
      </c>
      <c r="Q37">
        <v>3</v>
      </c>
      <c r="R37">
        <f t="shared" ref="R37:R43" si="5">(Q37-P37)</f>
        <v>2.5</v>
      </c>
      <c r="T37">
        <v>65</v>
      </c>
      <c r="U37">
        <v>65</v>
      </c>
    </row>
    <row r="38" spans="1:21" x14ac:dyDescent="0.45">
      <c r="A38">
        <v>62.9</v>
      </c>
      <c r="B38">
        <v>60.31</v>
      </c>
      <c r="C38">
        <f t="shared" si="2"/>
        <v>2.5899999999999963</v>
      </c>
      <c r="L38">
        <v>2</v>
      </c>
      <c r="M38">
        <v>4.6900000000000004</v>
      </c>
      <c r="N38">
        <f t="shared" si="4"/>
        <v>2.6900000000000004</v>
      </c>
      <c r="P38">
        <v>1.1000000000000001</v>
      </c>
      <c r="Q38">
        <v>3.5</v>
      </c>
      <c r="R38">
        <f t="shared" si="5"/>
        <v>2.4</v>
      </c>
    </row>
    <row r="39" spans="1:21" x14ac:dyDescent="0.45">
      <c r="L39">
        <v>3.2</v>
      </c>
      <c r="M39">
        <v>5.63</v>
      </c>
      <c r="N39">
        <f t="shared" si="4"/>
        <v>2.4299999999999997</v>
      </c>
      <c r="P39">
        <v>2</v>
      </c>
      <c r="Q39">
        <v>4.3099999999999996</v>
      </c>
      <c r="R39">
        <f t="shared" si="5"/>
        <v>2.3099999999999996</v>
      </c>
    </row>
    <row r="40" spans="1:21" x14ac:dyDescent="0.45">
      <c r="L40">
        <v>4</v>
      </c>
      <c r="M40">
        <v>6.31</v>
      </c>
      <c r="N40">
        <f t="shared" si="4"/>
        <v>2.3099999999999996</v>
      </c>
      <c r="P40">
        <v>2.9</v>
      </c>
      <c r="Q40">
        <v>5</v>
      </c>
      <c r="R40">
        <f t="shared" si="5"/>
        <v>2.1</v>
      </c>
    </row>
    <row r="41" spans="1:21" x14ac:dyDescent="0.45">
      <c r="B41" s="1" t="s">
        <v>28</v>
      </c>
      <c r="E41" s="1" t="s">
        <v>29</v>
      </c>
      <c r="L41">
        <v>4.9000000000000004</v>
      </c>
      <c r="M41">
        <v>7.06</v>
      </c>
      <c r="N41">
        <f t="shared" si="4"/>
        <v>2.1599999999999993</v>
      </c>
      <c r="P41">
        <v>3.9</v>
      </c>
      <c r="Q41">
        <v>5.94</v>
      </c>
      <c r="R41">
        <f t="shared" si="5"/>
        <v>2.0400000000000005</v>
      </c>
    </row>
    <row r="42" spans="1:21" x14ac:dyDescent="0.45">
      <c r="B42" t="s">
        <v>20</v>
      </c>
      <c r="D42" cm="1">
        <f t="array" ref="D42">INDEX(LINEST(B28:B38,A28:A38),1)</f>
        <v>0.9442821248122355</v>
      </c>
      <c r="E42" s="2">
        <f>AVERAGE(D42:D43)</f>
        <v>0.94055175495463605</v>
      </c>
      <c r="L42">
        <v>6.2</v>
      </c>
      <c r="M42">
        <v>8.19</v>
      </c>
      <c r="N42">
        <f t="shared" si="4"/>
        <v>1.9899999999999993</v>
      </c>
      <c r="P42">
        <v>4.9000000000000004</v>
      </c>
      <c r="Q42">
        <v>6.75</v>
      </c>
      <c r="R42">
        <f t="shared" si="5"/>
        <v>1.8499999999999996</v>
      </c>
    </row>
    <row r="43" spans="1:21" x14ac:dyDescent="0.45">
      <c r="B43" t="s">
        <v>21</v>
      </c>
      <c r="D43" cm="1">
        <f t="array" ref="D43">INDEX(LINEST(F28:F35,E28:E35),1)</f>
        <v>0.93682138509703672</v>
      </c>
      <c r="L43">
        <v>7</v>
      </c>
      <c r="M43">
        <v>8.81</v>
      </c>
      <c r="N43">
        <f t="shared" si="4"/>
        <v>1.8100000000000005</v>
      </c>
      <c r="P43">
        <v>6</v>
      </c>
      <c r="Q43">
        <v>7.75</v>
      </c>
      <c r="R43">
        <f t="shared" si="5"/>
        <v>1.75</v>
      </c>
    </row>
    <row r="44" spans="1:21" x14ac:dyDescent="0.45">
      <c r="L44">
        <v>8.1999999999999993</v>
      </c>
      <c r="M44">
        <v>9.81</v>
      </c>
      <c r="N44">
        <f t="shared" si="4"/>
        <v>1.6100000000000012</v>
      </c>
      <c r="P44">
        <v>7</v>
      </c>
      <c r="Q44">
        <v>8.6300000000000008</v>
      </c>
      <c r="R44">
        <f>(Q44-P44)</f>
        <v>1.6300000000000008</v>
      </c>
    </row>
    <row r="45" spans="1:21" x14ac:dyDescent="0.45">
      <c r="B45" t="s">
        <v>22</v>
      </c>
      <c r="D45" cm="1">
        <f t="array" ref="D45">INDEX(LINEST(B3:B23,A3:A23),1)</f>
        <v>0.83377782519024279</v>
      </c>
      <c r="E45" s="2">
        <f>AVERAGE(D45:D46)</f>
        <v>0.8469089534224814</v>
      </c>
      <c r="L45">
        <v>9.3000000000000007</v>
      </c>
      <c r="M45">
        <v>10.75</v>
      </c>
      <c r="N45">
        <f t="shared" si="4"/>
        <v>1.4499999999999993</v>
      </c>
      <c r="P45">
        <v>7.9</v>
      </c>
      <c r="Q45">
        <v>9.3800000000000008</v>
      </c>
      <c r="R45">
        <f t="shared" ref="R45:R57" si="6">(Q45-P45)</f>
        <v>1.4800000000000004</v>
      </c>
    </row>
    <row r="46" spans="1:21" x14ac:dyDescent="0.45">
      <c r="B46" t="s">
        <v>23</v>
      </c>
      <c r="D46" cm="1">
        <f t="array" ref="D46">INDEX(LINEST(F3:F21,E3:E21),1)</f>
        <v>0.8600400816547199</v>
      </c>
      <c r="L46">
        <v>10.6</v>
      </c>
      <c r="M46">
        <v>11.81</v>
      </c>
      <c r="N46">
        <f t="shared" si="4"/>
        <v>1.2100000000000009</v>
      </c>
      <c r="P46">
        <v>9</v>
      </c>
      <c r="Q46">
        <v>10.38</v>
      </c>
      <c r="R46">
        <f t="shared" si="6"/>
        <v>1.3800000000000008</v>
      </c>
    </row>
    <row r="47" spans="1:21" x14ac:dyDescent="0.45">
      <c r="L47">
        <v>11.6</v>
      </c>
      <c r="M47">
        <v>12.69</v>
      </c>
      <c r="N47">
        <f t="shared" si="4"/>
        <v>1.0899999999999999</v>
      </c>
      <c r="P47">
        <v>10</v>
      </c>
      <c r="Q47">
        <v>11.19</v>
      </c>
      <c r="R47">
        <f t="shared" si="6"/>
        <v>1.1899999999999995</v>
      </c>
    </row>
    <row r="48" spans="1:21" x14ac:dyDescent="0.45">
      <c r="L48">
        <v>12.2</v>
      </c>
      <c r="M48">
        <v>13.19</v>
      </c>
      <c r="N48">
        <f t="shared" si="4"/>
        <v>0.99000000000000021</v>
      </c>
      <c r="P48">
        <v>11</v>
      </c>
      <c r="Q48">
        <v>12</v>
      </c>
      <c r="R48">
        <f t="shared" si="6"/>
        <v>1</v>
      </c>
    </row>
    <row r="49" spans="12:18" x14ac:dyDescent="0.45">
      <c r="L49">
        <v>13.3</v>
      </c>
      <c r="M49">
        <v>14.25</v>
      </c>
      <c r="N49">
        <f t="shared" si="4"/>
        <v>0.94999999999999929</v>
      </c>
      <c r="P49">
        <v>11.8</v>
      </c>
      <c r="Q49">
        <v>12.69</v>
      </c>
      <c r="R49">
        <f t="shared" si="6"/>
        <v>0.88999999999999879</v>
      </c>
    </row>
    <row r="50" spans="12:18" x14ac:dyDescent="0.45">
      <c r="L50">
        <v>14.3</v>
      </c>
      <c r="M50">
        <v>14.94</v>
      </c>
      <c r="N50">
        <f t="shared" si="4"/>
        <v>0.63999999999999879</v>
      </c>
      <c r="P50">
        <v>13</v>
      </c>
      <c r="Q50">
        <v>13.75</v>
      </c>
      <c r="R50">
        <f t="shared" si="6"/>
        <v>0.75</v>
      </c>
    </row>
    <row r="51" spans="12:18" x14ac:dyDescent="0.45">
      <c r="L51">
        <v>15.2</v>
      </c>
      <c r="M51">
        <v>15.69</v>
      </c>
      <c r="N51">
        <f t="shared" si="4"/>
        <v>0.49000000000000021</v>
      </c>
      <c r="P51">
        <v>14</v>
      </c>
      <c r="Q51">
        <v>14.63</v>
      </c>
      <c r="R51">
        <f t="shared" si="6"/>
        <v>0.63000000000000078</v>
      </c>
    </row>
    <row r="52" spans="12:18" x14ac:dyDescent="0.45">
      <c r="L52">
        <v>16.2</v>
      </c>
      <c r="M52">
        <v>16.5</v>
      </c>
      <c r="N52">
        <f t="shared" si="4"/>
        <v>0.30000000000000071</v>
      </c>
      <c r="P52">
        <v>15.3</v>
      </c>
      <c r="Q52">
        <v>15.75</v>
      </c>
      <c r="R52">
        <f t="shared" si="6"/>
        <v>0.44999999999999929</v>
      </c>
    </row>
    <row r="53" spans="12:18" x14ac:dyDescent="0.45">
      <c r="L53">
        <v>16.8</v>
      </c>
      <c r="M53">
        <v>17</v>
      </c>
      <c r="N53">
        <f t="shared" si="4"/>
        <v>0.19999999999999929</v>
      </c>
      <c r="P53">
        <v>16.5</v>
      </c>
      <c r="Q53">
        <v>16.75</v>
      </c>
      <c r="R53">
        <f t="shared" si="6"/>
        <v>0.25</v>
      </c>
    </row>
    <row r="54" spans="12:18" x14ac:dyDescent="0.45">
      <c r="L54">
        <v>17.5</v>
      </c>
      <c r="M54">
        <v>17.62</v>
      </c>
      <c r="N54">
        <f t="shared" si="4"/>
        <v>0.12000000000000099</v>
      </c>
      <c r="P54">
        <v>17.5</v>
      </c>
      <c r="Q54">
        <v>17.559999999999999</v>
      </c>
      <c r="R54">
        <f t="shared" si="6"/>
        <v>5.9999999999998721E-2</v>
      </c>
    </row>
    <row r="55" spans="12:18" x14ac:dyDescent="0.45">
      <c r="L55">
        <v>17.8</v>
      </c>
      <c r="M55">
        <v>17.809999999999999</v>
      </c>
      <c r="N55">
        <f t="shared" si="4"/>
        <v>9.9999999999980105E-3</v>
      </c>
      <c r="P55">
        <v>25</v>
      </c>
      <c r="Q55">
        <v>24.62</v>
      </c>
      <c r="R55">
        <f t="shared" si="6"/>
        <v>-0.37999999999999901</v>
      </c>
    </row>
    <row r="56" spans="12:18" x14ac:dyDescent="0.45">
      <c r="L56">
        <v>17.899999999999999</v>
      </c>
      <c r="M56">
        <v>17.87</v>
      </c>
      <c r="N56">
        <f t="shared" si="4"/>
        <v>-2.9999999999997584E-2</v>
      </c>
      <c r="P56">
        <v>31</v>
      </c>
      <c r="Q56">
        <v>30.19</v>
      </c>
      <c r="R56">
        <f t="shared" si="6"/>
        <v>-0.80999999999999872</v>
      </c>
    </row>
    <row r="57" spans="12:18" x14ac:dyDescent="0.45">
      <c r="L57">
        <v>18.5</v>
      </c>
      <c r="M57">
        <v>18.440000000000001</v>
      </c>
      <c r="N57">
        <f>(M57-L57)</f>
        <v>-5.9999999999998721E-2</v>
      </c>
      <c r="P57">
        <v>35.9</v>
      </c>
      <c r="Q57">
        <v>34.81</v>
      </c>
      <c r="R57">
        <f t="shared" si="6"/>
        <v>-1.0899999999999963</v>
      </c>
    </row>
    <row r="58" spans="12:18" x14ac:dyDescent="0.45">
      <c r="L58">
        <v>20</v>
      </c>
      <c r="M58">
        <v>19.87</v>
      </c>
      <c r="N58">
        <f t="shared" si="4"/>
        <v>-0.12999999999999901</v>
      </c>
      <c r="P58">
        <v>40</v>
      </c>
      <c r="Q58">
        <v>38.69</v>
      </c>
      <c r="R58">
        <f>(Q58-P58)</f>
        <v>-1.3100000000000023</v>
      </c>
    </row>
    <row r="59" spans="12:18" x14ac:dyDescent="0.45">
      <c r="L59">
        <v>24.6</v>
      </c>
      <c r="M59">
        <v>24.19</v>
      </c>
      <c r="N59">
        <f t="shared" si="4"/>
        <v>-0.41000000000000014</v>
      </c>
      <c r="P59">
        <v>44</v>
      </c>
      <c r="Q59">
        <v>42.31</v>
      </c>
      <c r="R59">
        <f t="shared" ref="R59:R62" si="7">(Q59-P59)</f>
        <v>-1.6899999999999977</v>
      </c>
    </row>
    <row r="60" spans="12:18" x14ac:dyDescent="0.45">
      <c r="L60">
        <v>29.6</v>
      </c>
      <c r="M60">
        <v>29</v>
      </c>
      <c r="N60">
        <f t="shared" si="4"/>
        <v>-0.60000000000000142</v>
      </c>
      <c r="P60">
        <v>49.5</v>
      </c>
      <c r="Q60">
        <v>47.56</v>
      </c>
      <c r="R60">
        <f t="shared" si="7"/>
        <v>-1.9399999999999977</v>
      </c>
    </row>
    <row r="61" spans="12:18" x14ac:dyDescent="0.45">
      <c r="L61">
        <v>36.5</v>
      </c>
      <c r="M61">
        <v>35.5</v>
      </c>
      <c r="N61">
        <f t="shared" si="4"/>
        <v>-1</v>
      </c>
      <c r="P61">
        <v>53.3</v>
      </c>
      <c r="Q61">
        <v>51.06</v>
      </c>
      <c r="R61">
        <f t="shared" si="7"/>
        <v>-2.2399999999999949</v>
      </c>
    </row>
    <row r="62" spans="12:18" x14ac:dyDescent="0.45">
      <c r="L62">
        <v>43.4</v>
      </c>
      <c r="M62">
        <v>42</v>
      </c>
      <c r="N62">
        <f t="shared" si="4"/>
        <v>-1.3999999999999986</v>
      </c>
      <c r="P62">
        <v>58.8</v>
      </c>
      <c r="Q62">
        <v>56.31</v>
      </c>
      <c r="R62">
        <f t="shared" si="7"/>
        <v>-2.4899999999999949</v>
      </c>
    </row>
    <row r="63" spans="12:18" x14ac:dyDescent="0.45">
      <c r="L63">
        <v>45.9</v>
      </c>
      <c r="M63">
        <v>44.13</v>
      </c>
      <c r="N63">
        <f t="shared" si="4"/>
        <v>-1.769999999999996</v>
      </c>
    </row>
    <row r="64" spans="12:18" x14ac:dyDescent="0.45">
      <c r="L64">
        <v>53</v>
      </c>
      <c r="M64">
        <v>50.81</v>
      </c>
      <c r="N64">
        <f t="shared" si="4"/>
        <v>-2.1899999999999977</v>
      </c>
    </row>
    <row r="65" spans="1:41" x14ac:dyDescent="0.45">
      <c r="L65">
        <v>57.8</v>
      </c>
      <c r="M65">
        <v>55.69</v>
      </c>
      <c r="N65">
        <f t="shared" si="4"/>
        <v>-2.1099999999999994</v>
      </c>
    </row>
    <row r="66" spans="1:41" x14ac:dyDescent="0.45">
      <c r="L66">
        <v>60</v>
      </c>
      <c r="M66">
        <v>57.81</v>
      </c>
      <c r="N66">
        <f t="shared" si="4"/>
        <v>-2.1899999999999977</v>
      </c>
    </row>
    <row r="67" spans="1:41" x14ac:dyDescent="0.45">
      <c r="L67">
        <v>62.9</v>
      </c>
      <c r="M67">
        <v>60.31</v>
      </c>
      <c r="N67">
        <f t="shared" si="4"/>
        <v>-2.5899999999999963</v>
      </c>
    </row>
    <row r="78" spans="1:41" x14ac:dyDescent="0.45">
      <c r="B78" t="s">
        <v>10</v>
      </c>
      <c r="C78" t="s">
        <v>11</v>
      </c>
    </row>
    <row r="79" spans="1:41" x14ac:dyDescent="0.45">
      <c r="A79">
        <v>0</v>
      </c>
      <c r="B79">
        <v>21.69</v>
      </c>
      <c r="C79">
        <v>21.31</v>
      </c>
    </row>
    <row r="80" spans="1:41" x14ac:dyDescent="0.45">
      <c r="A80">
        <v>1</v>
      </c>
      <c r="B80">
        <v>31.87</v>
      </c>
      <c r="C80">
        <v>18.62</v>
      </c>
      <c r="Q80" t="s">
        <v>9</v>
      </c>
      <c r="AC80" t="s">
        <v>8</v>
      </c>
      <c r="AJ80" t="s">
        <v>12</v>
      </c>
      <c r="AO80" t="s">
        <v>13</v>
      </c>
    </row>
    <row r="81" spans="1:47" x14ac:dyDescent="0.45">
      <c r="A81">
        <v>2</v>
      </c>
      <c r="B81">
        <v>37.380000000000003</v>
      </c>
      <c r="C81">
        <v>14.56</v>
      </c>
      <c r="AJ81" t="s">
        <v>14</v>
      </c>
      <c r="AK81" t="s">
        <v>15</v>
      </c>
      <c r="AO81" t="s">
        <v>16</v>
      </c>
      <c r="AP81" t="s">
        <v>15</v>
      </c>
    </row>
    <row r="82" spans="1:47" x14ac:dyDescent="0.45">
      <c r="A82">
        <v>3</v>
      </c>
      <c r="B82">
        <v>42.19</v>
      </c>
      <c r="C82">
        <v>12.75</v>
      </c>
      <c r="Q82">
        <v>0</v>
      </c>
      <c r="R82">
        <v>57.88</v>
      </c>
      <c r="S82">
        <f>AVERAGE(R82:R566)</f>
        <v>57.519793814433086</v>
      </c>
      <c r="T82">
        <f>(R82-$S$82)</f>
        <v>0.3602061855669163</v>
      </c>
      <c r="AC82">
        <v>0</v>
      </c>
      <c r="AD82">
        <v>7.88</v>
      </c>
      <c r="AE82">
        <f>AVERAGE(AD82:AD566)</f>
        <v>7.8071752577319824</v>
      </c>
      <c r="AF82">
        <f>(AD82-$AE$82)</f>
        <v>7.2824742268017495E-2</v>
      </c>
      <c r="AJ82">
        <v>0</v>
      </c>
      <c r="AK82">
        <v>4.9400000000000004</v>
      </c>
      <c r="AO82">
        <v>0</v>
      </c>
      <c r="AP82">
        <v>42.19</v>
      </c>
      <c r="AQ82" t="s">
        <v>17</v>
      </c>
    </row>
    <row r="83" spans="1:47" x14ac:dyDescent="0.45">
      <c r="A83">
        <v>4</v>
      </c>
      <c r="B83">
        <v>43.63</v>
      </c>
      <c r="C83">
        <v>11.69</v>
      </c>
      <c r="Q83">
        <v>1</v>
      </c>
      <c r="R83">
        <v>57.81</v>
      </c>
      <c r="T83">
        <f>(R83-$S$82)</f>
        <v>0.29020618556691602</v>
      </c>
      <c r="AC83">
        <v>1</v>
      </c>
      <c r="AD83">
        <v>7.88</v>
      </c>
      <c r="AF83">
        <f t="shared" ref="AF83:AF146" si="8">(AD83-$AE$82)</f>
        <v>7.2824742268017495E-2</v>
      </c>
      <c r="AJ83">
        <v>1</v>
      </c>
      <c r="AK83">
        <v>5.19</v>
      </c>
      <c r="AO83">
        <v>1</v>
      </c>
      <c r="AP83">
        <v>42.19</v>
      </c>
    </row>
    <row r="84" spans="1:47" x14ac:dyDescent="0.45">
      <c r="A84">
        <v>5</v>
      </c>
      <c r="B84">
        <v>46.69</v>
      </c>
      <c r="C84">
        <v>11</v>
      </c>
      <c r="Q84">
        <v>2</v>
      </c>
      <c r="R84">
        <v>57.81</v>
      </c>
      <c r="T84">
        <f t="shared" ref="T84:T147" si="9">(R84-$S$82)</f>
        <v>0.29020618556691602</v>
      </c>
      <c r="AC84">
        <v>2</v>
      </c>
      <c r="AD84">
        <v>7.88</v>
      </c>
      <c r="AF84">
        <f t="shared" si="8"/>
        <v>7.2824742268017495E-2</v>
      </c>
      <c r="AJ84">
        <v>2</v>
      </c>
      <c r="AK84">
        <v>4.9400000000000004</v>
      </c>
      <c r="AO84">
        <v>2</v>
      </c>
      <c r="AP84">
        <v>42.06</v>
      </c>
    </row>
    <row r="85" spans="1:47" x14ac:dyDescent="0.45">
      <c r="A85">
        <v>6</v>
      </c>
      <c r="B85">
        <v>49.19</v>
      </c>
      <c r="C85">
        <v>10.44</v>
      </c>
      <c r="Q85">
        <v>3</v>
      </c>
      <c r="R85">
        <v>57.75</v>
      </c>
      <c r="T85">
        <f t="shared" si="9"/>
        <v>0.23020618556691375</v>
      </c>
      <c r="AC85">
        <v>3</v>
      </c>
      <c r="AD85">
        <v>7.88</v>
      </c>
      <c r="AF85">
        <f t="shared" si="8"/>
        <v>7.2824742268017495E-2</v>
      </c>
      <c r="AJ85">
        <v>3</v>
      </c>
      <c r="AK85">
        <v>5</v>
      </c>
      <c r="AO85">
        <v>3</v>
      </c>
      <c r="AP85">
        <v>42</v>
      </c>
    </row>
    <row r="86" spans="1:47" x14ac:dyDescent="0.45">
      <c r="A86">
        <v>7</v>
      </c>
      <c r="B86">
        <v>50.75</v>
      </c>
      <c r="C86">
        <v>9.94</v>
      </c>
      <c r="Q86">
        <v>4</v>
      </c>
      <c r="R86">
        <v>57.63</v>
      </c>
      <c r="T86">
        <f t="shared" si="9"/>
        <v>0.1102061855669163</v>
      </c>
      <c r="AC86">
        <v>4</v>
      </c>
      <c r="AD86">
        <v>7.81</v>
      </c>
      <c r="AF86">
        <f t="shared" si="8"/>
        <v>2.8247422680172107E-3</v>
      </c>
      <c r="AJ86">
        <v>4</v>
      </c>
      <c r="AK86">
        <v>5.0599999999999996</v>
      </c>
      <c r="AO86">
        <v>4</v>
      </c>
      <c r="AP86">
        <v>42.25</v>
      </c>
    </row>
    <row r="87" spans="1:47" x14ac:dyDescent="0.45">
      <c r="A87">
        <v>8</v>
      </c>
      <c r="B87">
        <v>51.94</v>
      </c>
      <c r="C87">
        <v>9.56</v>
      </c>
      <c r="Q87">
        <v>5</v>
      </c>
      <c r="R87">
        <v>57.56</v>
      </c>
      <c r="T87">
        <f t="shared" si="9"/>
        <v>4.020618556691602E-2</v>
      </c>
      <c r="AC87">
        <v>5</v>
      </c>
      <c r="AD87">
        <v>7.81</v>
      </c>
      <c r="AF87">
        <f t="shared" si="8"/>
        <v>2.8247422680172107E-3</v>
      </c>
    </row>
    <row r="88" spans="1:47" x14ac:dyDescent="0.45">
      <c r="A88">
        <v>9</v>
      </c>
      <c r="B88">
        <v>52.81</v>
      </c>
      <c r="C88">
        <v>9.19</v>
      </c>
      <c r="Q88">
        <v>6</v>
      </c>
      <c r="R88">
        <v>57.5</v>
      </c>
      <c r="T88">
        <f t="shared" si="9"/>
        <v>-1.9793814433086254E-2</v>
      </c>
      <c r="AC88">
        <v>6</v>
      </c>
      <c r="AD88">
        <v>7.81</v>
      </c>
      <c r="AF88">
        <f t="shared" si="8"/>
        <v>2.8247422680172107E-3</v>
      </c>
      <c r="AR88">
        <v>1</v>
      </c>
      <c r="AS88">
        <v>4.9400000000000004</v>
      </c>
      <c r="AT88">
        <v>1</v>
      </c>
      <c r="AU88">
        <v>42.19</v>
      </c>
    </row>
    <row r="89" spans="1:47" x14ac:dyDescent="0.45">
      <c r="A89">
        <v>10</v>
      </c>
      <c r="B89">
        <v>53.5</v>
      </c>
      <c r="C89">
        <v>8.94</v>
      </c>
      <c r="Q89">
        <v>7</v>
      </c>
      <c r="R89">
        <v>57.44</v>
      </c>
      <c r="T89">
        <f t="shared" si="9"/>
        <v>-7.9793814433088528E-2</v>
      </c>
      <c r="AC89">
        <v>7</v>
      </c>
      <c r="AD89">
        <v>7.81</v>
      </c>
      <c r="AF89">
        <f t="shared" si="8"/>
        <v>2.8247422680172107E-3</v>
      </c>
      <c r="AR89">
        <v>4</v>
      </c>
      <c r="AS89">
        <v>4.9400000000000004</v>
      </c>
      <c r="AT89">
        <v>4</v>
      </c>
      <c r="AU89">
        <v>42.19</v>
      </c>
    </row>
    <row r="90" spans="1:47" x14ac:dyDescent="0.45">
      <c r="A90">
        <v>11</v>
      </c>
      <c r="B90">
        <v>54.06</v>
      </c>
      <c r="C90">
        <v>8.69</v>
      </c>
      <c r="Q90">
        <v>8</v>
      </c>
      <c r="R90">
        <v>57.44</v>
      </c>
      <c r="T90">
        <f t="shared" si="9"/>
        <v>-7.9793814433088528E-2</v>
      </c>
      <c r="AC90">
        <v>8</v>
      </c>
      <c r="AD90">
        <v>7.81</v>
      </c>
      <c r="AF90">
        <f t="shared" si="8"/>
        <v>2.8247422680172107E-3</v>
      </c>
    </row>
    <row r="91" spans="1:47" x14ac:dyDescent="0.45">
      <c r="A91">
        <v>12</v>
      </c>
      <c r="B91">
        <v>54.56</v>
      </c>
      <c r="C91">
        <v>8.44</v>
      </c>
      <c r="Q91">
        <v>9</v>
      </c>
      <c r="R91">
        <v>57.38</v>
      </c>
      <c r="T91">
        <f t="shared" si="9"/>
        <v>-0.1397938144330837</v>
      </c>
      <c r="AC91">
        <v>9</v>
      </c>
      <c r="AD91">
        <v>7.81</v>
      </c>
      <c r="AF91">
        <f t="shared" si="8"/>
        <v>2.8247422680172107E-3</v>
      </c>
    </row>
    <row r="92" spans="1:47" x14ac:dyDescent="0.45">
      <c r="A92">
        <v>13</v>
      </c>
      <c r="B92">
        <v>54.94</v>
      </c>
      <c r="C92">
        <v>8.25</v>
      </c>
      <c r="Q92">
        <v>10</v>
      </c>
      <c r="R92">
        <v>57.38</v>
      </c>
      <c r="T92">
        <f t="shared" si="9"/>
        <v>-0.1397938144330837</v>
      </c>
      <c r="AC92">
        <v>10</v>
      </c>
      <c r="AD92">
        <v>7.81</v>
      </c>
      <c r="AF92">
        <f t="shared" si="8"/>
        <v>2.8247422680172107E-3</v>
      </c>
    </row>
    <row r="93" spans="1:47" x14ac:dyDescent="0.45">
      <c r="A93">
        <v>14</v>
      </c>
      <c r="B93">
        <v>55.25</v>
      </c>
      <c r="C93">
        <v>8.06</v>
      </c>
      <c r="Q93">
        <v>11</v>
      </c>
      <c r="R93">
        <v>57.31</v>
      </c>
      <c r="T93">
        <f t="shared" si="9"/>
        <v>-0.20979381443308398</v>
      </c>
      <c r="AC93">
        <v>11</v>
      </c>
      <c r="AD93">
        <v>7.75</v>
      </c>
      <c r="AF93">
        <f t="shared" si="8"/>
        <v>-5.7175257731982398E-2</v>
      </c>
    </row>
    <row r="94" spans="1:47" x14ac:dyDescent="0.45">
      <c r="A94">
        <v>15</v>
      </c>
      <c r="B94">
        <v>55.5</v>
      </c>
      <c r="C94">
        <v>7.88</v>
      </c>
      <c r="Q94">
        <v>12</v>
      </c>
      <c r="R94">
        <v>57.31</v>
      </c>
      <c r="T94">
        <f t="shared" si="9"/>
        <v>-0.20979381443308398</v>
      </c>
      <c r="AC94">
        <v>12</v>
      </c>
      <c r="AD94">
        <v>7.75</v>
      </c>
      <c r="AF94">
        <f t="shared" si="8"/>
        <v>-5.7175257731982398E-2</v>
      </c>
    </row>
    <row r="95" spans="1:47" x14ac:dyDescent="0.45">
      <c r="A95">
        <v>16</v>
      </c>
      <c r="B95">
        <v>55.69</v>
      </c>
      <c r="C95">
        <v>7.75</v>
      </c>
      <c r="Q95">
        <v>13</v>
      </c>
      <c r="R95">
        <v>57.25</v>
      </c>
      <c r="T95">
        <f t="shared" si="9"/>
        <v>-0.26979381443308625</v>
      </c>
      <c r="AC95">
        <v>13</v>
      </c>
      <c r="AD95">
        <v>7.75</v>
      </c>
      <c r="AF95">
        <f t="shared" si="8"/>
        <v>-5.7175257731982398E-2</v>
      </c>
    </row>
    <row r="96" spans="1:47" x14ac:dyDescent="0.45">
      <c r="A96">
        <v>17</v>
      </c>
      <c r="B96">
        <v>55.94</v>
      </c>
      <c r="C96">
        <v>7.56</v>
      </c>
      <c r="Q96">
        <v>14</v>
      </c>
      <c r="R96">
        <v>57.25</v>
      </c>
      <c r="T96">
        <f t="shared" si="9"/>
        <v>-0.26979381443308625</v>
      </c>
      <c r="AC96">
        <v>14</v>
      </c>
      <c r="AD96">
        <v>7.81</v>
      </c>
      <c r="AF96">
        <f t="shared" si="8"/>
        <v>2.8247422680172107E-3</v>
      </c>
    </row>
    <row r="97" spans="1:32" x14ac:dyDescent="0.45">
      <c r="A97">
        <v>18</v>
      </c>
      <c r="B97">
        <v>56.13</v>
      </c>
      <c r="C97">
        <v>7.44</v>
      </c>
      <c r="Q97">
        <v>15</v>
      </c>
      <c r="R97">
        <v>57.25</v>
      </c>
      <c r="T97">
        <f t="shared" si="9"/>
        <v>-0.26979381443308625</v>
      </c>
      <c r="AC97">
        <v>15</v>
      </c>
      <c r="AD97">
        <v>7.75</v>
      </c>
      <c r="AF97">
        <f t="shared" si="8"/>
        <v>-5.7175257731982398E-2</v>
      </c>
    </row>
    <row r="98" spans="1:32" x14ac:dyDescent="0.45">
      <c r="A98">
        <v>19</v>
      </c>
      <c r="B98">
        <v>56.25</v>
      </c>
      <c r="C98">
        <v>7.31</v>
      </c>
      <c r="Q98">
        <v>16</v>
      </c>
      <c r="R98">
        <v>57.25</v>
      </c>
      <c r="T98">
        <f t="shared" si="9"/>
        <v>-0.26979381443308625</v>
      </c>
      <c r="AC98">
        <v>16</v>
      </c>
      <c r="AD98">
        <v>7.75</v>
      </c>
      <c r="AF98">
        <f t="shared" si="8"/>
        <v>-5.7175257731982398E-2</v>
      </c>
    </row>
    <row r="99" spans="1:32" x14ac:dyDescent="0.45">
      <c r="A99">
        <v>20</v>
      </c>
      <c r="B99">
        <v>56.38</v>
      </c>
      <c r="C99">
        <v>7.25</v>
      </c>
      <c r="Q99">
        <v>17</v>
      </c>
      <c r="R99">
        <v>57.25</v>
      </c>
      <c r="T99">
        <f t="shared" si="9"/>
        <v>-0.26979381443308625</v>
      </c>
      <c r="AC99">
        <v>17</v>
      </c>
      <c r="AD99">
        <v>7.75</v>
      </c>
      <c r="AF99">
        <f t="shared" si="8"/>
        <v>-5.7175257731982398E-2</v>
      </c>
    </row>
    <row r="100" spans="1:32" x14ac:dyDescent="0.45">
      <c r="A100">
        <v>21</v>
      </c>
      <c r="B100">
        <v>56.31</v>
      </c>
      <c r="C100">
        <v>7.13</v>
      </c>
      <c r="Q100">
        <v>18</v>
      </c>
      <c r="R100">
        <v>57.25</v>
      </c>
      <c r="T100">
        <f t="shared" si="9"/>
        <v>-0.26979381443308625</v>
      </c>
      <c r="AC100">
        <v>18</v>
      </c>
      <c r="AD100">
        <v>7.75</v>
      </c>
      <c r="AF100">
        <f t="shared" si="8"/>
        <v>-5.7175257731982398E-2</v>
      </c>
    </row>
    <row r="101" spans="1:32" x14ac:dyDescent="0.45">
      <c r="A101">
        <v>22</v>
      </c>
      <c r="B101">
        <v>56.25</v>
      </c>
      <c r="C101">
        <v>7</v>
      </c>
      <c r="Q101">
        <v>19</v>
      </c>
      <c r="R101">
        <v>57.25</v>
      </c>
      <c r="T101">
        <f t="shared" si="9"/>
        <v>-0.26979381443308625</v>
      </c>
      <c r="AC101">
        <v>19</v>
      </c>
      <c r="AD101">
        <v>7.75</v>
      </c>
      <c r="AF101">
        <f t="shared" si="8"/>
        <v>-5.7175257731982398E-2</v>
      </c>
    </row>
    <row r="102" spans="1:32" x14ac:dyDescent="0.45">
      <c r="A102">
        <v>23</v>
      </c>
      <c r="B102">
        <v>56.25</v>
      </c>
      <c r="C102">
        <v>6.94</v>
      </c>
      <c r="Q102">
        <v>20</v>
      </c>
      <c r="R102">
        <v>57.25</v>
      </c>
      <c r="T102">
        <f t="shared" si="9"/>
        <v>-0.26979381443308625</v>
      </c>
      <c r="AC102">
        <v>20</v>
      </c>
      <c r="AD102">
        <v>7.75</v>
      </c>
      <c r="AF102">
        <f t="shared" si="8"/>
        <v>-5.7175257731982398E-2</v>
      </c>
    </row>
    <row r="103" spans="1:32" x14ac:dyDescent="0.45">
      <c r="A103">
        <v>24</v>
      </c>
      <c r="B103">
        <v>56.25</v>
      </c>
      <c r="C103">
        <v>6.81</v>
      </c>
      <c r="Q103">
        <v>21</v>
      </c>
      <c r="R103">
        <v>57.25</v>
      </c>
      <c r="T103">
        <f t="shared" si="9"/>
        <v>-0.26979381443308625</v>
      </c>
      <c r="AC103">
        <v>21</v>
      </c>
      <c r="AD103">
        <v>7.75</v>
      </c>
      <c r="AF103">
        <f t="shared" si="8"/>
        <v>-5.7175257731982398E-2</v>
      </c>
    </row>
    <row r="104" spans="1:32" x14ac:dyDescent="0.45">
      <c r="A104">
        <v>25</v>
      </c>
      <c r="B104">
        <v>56.25</v>
      </c>
      <c r="C104">
        <v>6.75</v>
      </c>
      <c r="Q104">
        <v>22</v>
      </c>
      <c r="R104">
        <v>57.25</v>
      </c>
      <c r="T104">
        <f t="shared" si="9"/>
        <v>-0.26979381443308625</v>
      </c>
      <c r="AC104">
        <v>22</v>
      </c>
      <c r="AD104">
        <v>7.75</v>
      </c>
      <c r="AF104">
        <f t="shared" si="8"/>
        <v>-5.7175257731982398E-2</v>
      </c>
    </row>
    <row r="105" spans="1:32" x14ac:dyDescent="0.45">
      <c r="A105">
        <v>26</v>
      </c>
      <c r="B105">
        <v>56.31</v>
      </c>
      <c r="C105">
        <v>6.69</v>
      </c>
      <c r="E105" t="s">
        <v>19</v>
      </c>
      <c r="I105" t="s">
        <v>18</v>
      </c>
      <c r="Q105">
        <v>23</v>
      </c>
      <c r="R105">
        <v>57.31</v>
      </c>
      <c r="T105">
        <f t="shared" si="9"/>
        <v>-0.20979381443308398</v>
      </c>
      <c r="AC105">
        <v>23</v>
      </c>
      <c r="AD105">
        <v>7.69</v>
      </c>
      <c r="AF105">
        <f t="shared" si="8"/>
        <v>-0.11717525773198201</v>
      </c>
    </row>
    <row r="106" spans="1:32" x14ac:dyDescent="0.45">
      <c r="A106">
        <v>27</v>
      </c>
      <c r="B106">
        <v>56.31</v>
      </c>
      <c r="C106">
        <v>6.63</v>
      </c>
      <c r="G106" s="1" t="s">
        <v>3</v>
      </c>
      <c r="K106" s="1" t="s">
        <v>3</v>
      </c>
      <c r="Q106">
        <v>24</v>
      </c>
      <c r="R106">
        <v>57.25</v>
      </c>
      <c r="T106">
        <f t="shared" si="9"/>
        <v>-0.26979381443308625</v>
      </c>
      <c r="AC106">
        <v>24</v>
      </c>
      <c r="AD106">
        <v>7.69</v>
      </c>
      <c r="AF106">
        <f t="shared" si="8"/>
        <v>-0.11717525773198201</v>
      </c>
    </row>
    <row r="107" spans="1:32" x14ac:dyDescent="0.45">
      <c r="A107">
        <v>28</v>
      </c>
      <c r="B107">
        <v>56.31</v>
      </c>
      <c r="C107">
        <v>6.56</v>
      </c>
      <c r="E107">
        <v>0</v>
      </c>
      <c r="F107">
        <v>50</v>
      </c>
      <c r="G107">
        <f>(F107-E107)</f>
        <v>50</v>
      </c>
      <c r="I107">
        <v>127</v>
      </c>
      <c r="J107">
        <v>323</v>
      </c>
      <c r="K107">
        <f>(J107-I107)</f>
        <v>196</v>
      </c>
      <c r="Q107">
        <v>25</v>
      </c>
      <c r="R107">
        <v>57.25</v>
      </c>
      <c r="T107">
        <f t="shared" si="9"/>
        <v>-0.26979381443308625</v>
      </c>
      <c r="AC107">
        <v>25</v>
      </c>
      <c r="AD107">
        <v>7.69</v>
      </c>
      <c r="AF107">
        <f t="shared" si="8"/>
        <v>-0.11717525773198201</v>
      </c>
    </row>
    <row r="108" spans="1:32" x14ac:dyDescent="0.45">
      <c r="A108">
        <v>29</v>
      </c>
      <c r="B108">
        <v>56.31</v>
      </c>
      <c r="C108">
        <v>6.5</v>
      </c>
      <c r="E108">
        <v>21.31</v>
      </c>
      <c r="F108">
        <v>5.69</v>
      </c>
      <c r="G108">
        <f>(F108-E108)</f>
        <v>-15.619999999999997</v>
      </c>
      <c r="I108">
        <v>5.88</v>
      </c>
      <c r="J108">
        <v>21</v>
      </c>
      <c r="K108">
        <f>(J108-I108)</f>
        <v>15.120000000000001</v>
      </c>
      <c r="Q108">
        <v>26</v>
      </c>
      <c r="R108">
        <v>57.31</v>
      </c>
      <c r="T108">
        <f t="shared" si="9"/>
        <v>-0.20979381443308398</v>
      </c>
      <c r="AC108">
        <v>26</v>
      </c>
      <c r="AD108">
        <v>7.69</v>
      </c>
      <c r="AF108">
        <f t="shared" si="8"/>
        <v>-0.11717525773198201</v>
      </c>
    </row>
    <row r="109" spans="1:32" x14ac:dyDescent="0.45">
      <c r="A109">
        <v>30</v>
      </c>
      <c r="B109">
        <v>56.31</v>
      </c>
      <c r="C109">
        <v>6.44</v>
      </c>
      <c r="Q109">
        <v>27</v>
      </c>
      <c r="R109">
        <v>57.31</v>
      </c>
      <c r="T109">
        <f t="shared" si="9"/>
        <v>-0.20979381443308398</v>
      </c>
      <c r="AC109">
        <v>27</v>
      </c>
      <c r="AD109">
        <v>7.69</v>
      </c>
      <c r="AF109">
        <f t="shared" si="8"/>
        <v>-0.11717525773198201</v>
      </c>
    </row>
    <row r="110" spans="1:32" x14ac:dyDescent="0.45">
      <c r="A110">
        <v>31</v>
      </c>
      <c r="B110">
        <v>56.31</v>
      </c>
      <c r="C110">
        <v>6.38</v>
      </c>
      <c r="E110">
        <v>3</v>
      </c>
      <c r="F110">
        <v>19</v>
      </c>
      <c r="G110">
        <f t="shared" ref="G110" si="10">(F110-E110)</f>
        <v>16</v>
      </c>
      <c r="I110">
        <v>102</v>
      </c>
      <c r="J110">
        <v>301</v>
      </c>
      <c r="K110">
        <f t="shared" ref="K110" si="11">(J110-I110)</f>
        <v>199</v>
      </c>
      <c r="Q110">
        <v>28</v>
      </c>
      <c r="R110">
        <v>57.31</v>
      </c>
      <c r="T110">
        <f t="shared" si="9"/>
        <v>-0.20979381443308398</v>
      </c>
      <c r="AC110">
        <v>28</v>
      </c>
      <c r="AD110">
        <v>7.69</v>
      </c>
      <c r="AF110">
        <f t="shared" si="8"/>
        <v>-0.11717525773198201</v>
      </c>
    </row>
    <row r="111" spans="1:32" x14ac:dyDescent="0.45">
      <c r="A111">
        <v>32</v>
      </c>
      <c r="B111">
        <v>56.25</v>
      </c>
      <c r="C111">
        <v>6.31</v>
      </c>
      <c r="E111">
        <v>42.19</v>
      </c>
      <c r="F111">
        <v>56.25</v>
      </c>
      <c r="G111">
        <f>(F111-E111)</f>
        <v>14.060000000000002</v>
      </c>
      <c r="I111">
        <v>37.380000000000003</v>
      </c>
      <c r="J111">
        <v>22</v>
      </c>
      <c r="K111">
        <f>(J111-I111)</f>
        <v>-15.380000000000003</v>
      </c>
      <c r="Q111">
        <v>29</v>
      </c>
      <c r="R111">
        <v>57.25</v>
      </c>
      <c r="T111">
        <f t="shared" si="9"/>
        <v>-0.26979381443308625</v>
      </c>
      <c r="AC111">
        <v>29</v>
      </c>
      <c r="AD111">
        <v>7.69</v>
      </c>
      <c r="AF111">
        <f t="shared" si="8"/>
        <v>-0.11717525773198201</v>
      </c>
    </row>
    <row r="112" spans="1:32" x14ac:dyDescent="0.45">
      <c r="A112">
        <v>33</v>
      </c>
      <c r="B112">
        <v>56.31</v>
      </c>
      <c r="C112">
        <v>6.25</v>
      </c>
      <c r="Q112">
        <v>30</v>
      </c>
      <c r="R112">
        <v>57.31</v>
      </c>
      <c r="T112">
        <f t="shared" si="9"/>
        <v>-0.20979381443308398</v>
      </c>
      <c r="AC112">
        <v>30</v>
      </c>
      <c r="AD112">
        <v>7.69</v>
      </c>
      <c r="AF112">
        <f t="shared" si="8"/>
        <v>-0.11717525773198201</v>
      </c>
    </row>
    <row r="113" spans="1:32" x14ac:dyDescent="0.45">
      <c r="A113">
        <v>34</v>
      </c>
      <c r="B113">
        <v>56.31</v>
      </c>
      <c r="C113">
        <v>6.19</v>
      </c>
      <c r="Q113">
        <v>31</v>
      </c>
      <c r="R113">
        <v>57.31</v>
      </c>
      <c r="T113">
        <f t="shared" si="9"/>
        <v>-0.20979381443308398</v>
      </c>
      <c r="AC113">
        <v>31</v>
      </c>
      <c r="AD113">
        <v>7.63</v>
      </c>
      <c r="AF113">
        <f t="shared" si="8"/>
        <v>-0.17717525773198251</v>
      </c>
    </row>
    <row r="114" spans="1:32" x14ac:dyDescent="0.45">
      <c r="A114">
        <v>35</v>
      </c>
      <c r="B114">
        <v>56.31</v>
      </c>
      <c r="C114">
        <v>6.19</v>
      </c>
      <c r="Q114">
        <v>32</v>
      </c>
      <c r="R114">
        <v>57.31</v>
      </c>
      <c r="T114">
        <f t="shared" si="9"/>
        <v>-0.20979381443308398</v>
      </c>
      <c r="AC114">
        <v>32</v>
      </c>
      <c r="AD114">
        <v>7.63</v>
      </c>
      <c r="AF114">
        <f t="shared" si="8"/>
        <v>-0.17717525773198251</v>
      </c>
    </row>
    <row r="115" spans="1:32" x14ac:dyDescent="0.45">
      <c r="A115">
        <v>36</v>
      </c>
      <c r="B115">
        <v>56.25</v>
      </c>
      <c r="C115">
        <v>6.13</v>
      </c>
      <c r="Q115">
        <v>33</v>
      </c>
      <c r="R115">
        <v>57.31</v>
      </c>
      <c r="T115">
        <f t="shared" si="9"/>
        <v>-0.20979381443308398</v>
      </c>
      <c r="AC115">
        <v>33</v>
      </c>
      <c r="AD115">
        <v>7.63</v>
      </c>
      <c r="AF115">
        <f t="shared" si="8"/>
        <v>-0.17717525773198251</v>
      </c>
    </row>
    <row r="116" spans="1:32" x14ac:dyDescent="0.45">
      <c r="A116">
        <v>37</v>
      </c>
      <c r="B116">
        <v>56.25</v>
      </c>
      <c r="C116">
        <v>6.06</v>
      </c>
      <c r="Q116">
        <v>34</v>
      </c>
      <c r="R116">
        <v>57.38</v>
      </c>
      <c r="T116">
        <f t="shared" si="9"/>
        <v>-0.1397938144330837</v>
      </c>
      <c r="AC116">
        <v>34</v>
      </c>
      <c r="AD116">
        <v>7.63</v>
      </c>
      <c r="AF116">
        <f t="shared" si="8"/>
        <v>-0.17717525773198251</v>
      </c>
    </row>
    <row r="117" spans="1:32" x14ac:dyDescent="0.45">
      <c r="A117">
        <v>38</v>
      </c>
      <c r="B117">
        <v>56.25</v>
      </c>
      <c r="C117">
        <v>6.06</v>
      </c>
      <c r="Q117">
        <v>35</v>
      </c>
      <c r="R117">
        <v>57.38</v>
      </c>
      <c r="T117">
        <f t="shared" si="9"/>
        <v>-0.1397938144330837</v>
      </c>
      <c r="AC117">
        <v>35</v>
      </c>
      <c r="AD117">
        <v>7.63</v>
      </c>
      <c r="AF117">
        <f t="shared" si="8"/>
        <v>-0.17717525773198251</v>
      </c>
    </row>
    <row r="118" spans="1:32" x14ac:dyDescent="0.45">
      <c r="A118">
        <v>39</v>
      </c>
      <c r="B118">
        <v>56.25</v>
      </c>
      <c r="C118">
        <v>6</v>
      </c>
      <c r="Q118">
        <v>36</v>
      </c>
      <c r="R118">
        <v>57.38</v>
      </c>
      <c r="T118">
        <f t="shared" si="9"/>
        <v>-0.1397938144330837</v>
      </c>
      <c r="AC118">
        <v>36</v>
      </c>
      <c r="AD118">
        <v>7.63</v>
      </c>
      <c r="AF118">
        <f t="shared" si="8"/>
        <v>-0.17717525773198251</v>
      </c>
    </row>
    <row r="119" spans="1:32" x14ac:dyDescent="0.45">
      <c r="A119">
        <v>40</v>
      </c>
      <c r="B119">
        <v>56.31</v>
      </c>
      <c r="C119">
        <v>6</v>
      </c>
      <c r="Q119">
        <v>37</v>
      </c>
      <c r="R119">
        <v>57.44</v>
      </c>
      <c r="T119">
        <f t="shared" si="9"/>
        <v>-7.9793814433088528E-2</v>
      </c>
      <c r="AC119">
        <v>37</v>
      </c>
      <c r="AD119">
        <v>7.63</v>
      </c>
      <c r="AF119">
        <f t="shared" si="8"/>
        <v>-0.17717525773198251</v>
      </c>
    </row>
    <row r="120" spans="1:32" x14ac:dyDescent="0.45">
      <c r="A120">
        <v>41</v>
      </c>
      <c r="B120">
        <v>56.31</v>
      </c>
      <c r="C120">
        <v>5.94</v>
      </c>
      <c r="Q120">
        <v>38</v>
      </c>
      <c r="R120">
        <v>57.44</v>
      </c>
      <c r="T120">
        <f t="shared" si="9"/>
        <v>-7.9793814433088528E-2</v>
      </c>
      <c r="AC120">
        <v>38</v>
      </c>
      <c r="AD120">
        <v>7.63</v>
      </c>
      <c r="AF120">
        <f t="shared" si="8"/>
        <v>-0.17717525773198251</v>
      </c>
    </row>
    <row r="121" spans="1:32" x14ac:dyDescent="0.45">
      <c r="A121">
        <v>42</v>
      </c>
      <c r="B121">
        <v>56.38</v>
      </c>
      <c r="C121">
        <v>5.94</v>
      </c>
      <c r="Q121">
        <v>39</v>
      </c>
      <c r="R121">
        <v>57.44</v>
      </c>
      <c r="T121">
        <f t="shared" si="9"/>
        <v>-7.9793814433088528E-2</v>
      </c>
      <c r="AC121">
        <v>39</v>
      </c>
      <c r="AD121">
        <v>7.63</v>
      </c>
      <c r="AF121">
        <f t="shared" si="8"/>
        <v>-0.17717525773198251</v>
      </c>
    </row>
    <row r="122" spans="1:32" x14ac:dyDescent="0.45">
      <c r="A122">
        <v>43</v>
      </c>
      <c r="B122">
        <v>56.38</v>
      </c>
      <c r="C122">
        <v>5.88</v>
      </c>
      <c r="Q122">
        <v>40</v>
      </c>
      <c r="R122">
        <v>57.44</v>
      </c>
      <c r="T122">
        <f t="shared" si="9"/>
        <v>-7.9793814433088528E-2</v>
      </c>
      <c r="AC122">
        <v>40</v>
      </c>
      <c r="AD122">
        <v>7.63</v>
      </c>
      <c r="AF122">
        <f t="shared" si="8"/>
        <v>-0.17717525773198251</v>
      </c>
    </row>
    <row r="123" spans="1:32" x14ac:dyDescent="0.45">
      <c r="A123">
        <v>44</v>
      </c>
      <c r="B123">
        <v>56.44</v>
      </c>
      <c r="C123">
        <v>5.88</v>
      </c>
      <c r="Q123">
        <v>41</v>
      </c>
      <c r="R123">
        <v>57.44</v>
      </c>
      <c r="T123">
        <f t="shared" si="9"/>
        <v>-7.9793814433088528E-2</v>
      </c>
      <c r="AC123">
        <v>41</v>
      </c>
      <c r="AD123">
        <v>7.63</v>
      </c>
      <c r="AF123">
        <f t="shared" si="8"/>
        <v>-0.17717525773198251</v>
      </c>
    </row>
    <row r="124" spans="1:32" x14ac:dyDescent="0.45">
      <c r="A124">
        <v>45</v>
      </c>
      <c r="B124">
        <v>56.44</v>
      </c>
      <c r="C124">
        <v>5.88</v>
      </c>
      <c r="Q124">
        <v>42</v>
      </c>
      <c r="R124">
        <v>57.44</v>
      </c>
      <c r="T124">
        <f t="shared" si="9"/>
        <v>-7.9793814433088528E-2</v>
      </c>
      <c r="AC124">
        <v>42</v>
      </c>
      <c r="AD124">
        <v>7.63</v>
      </c>
      <c r="AF124">
        <f t="shared" si="8"/>
        <v>-0.17717525773198251</v>
      </c>
    </row>
    <row r="125" spans="1:32" x14ac:dyDescent="0.45">
      <c r="A125">
        <v>46</v>
      </c>
      <c r="B125">
        <v>56.38</v>
      </c>
      <c r="C125">
        <v>5.81</v>
      </c>
      <c r="Q125">
        <v>43</v>
      </c>
      <c r="R125">
        <v>57.44</v>
      </c>
      <c r="T125">
        <f t="shared" si="9"/>
        <v>-7.9793814433088528E-2</v>
      </c>
      <c r="AC125">
        <v>43</v>
      </c>
      <c r="AD125">
        <v>7.63</v>
      </c>
      <c r="AF125">
        <f t="shared" si="8"/>
        <v>-0.17717525773198251</v>
      </c>
    </row>
    <row r="126" spans="1:32" x14ac:dyDescent="0.45">
      <c r="A126">
        <v>47</v>
      </c>
      <c r="B126">
        <v>56.31</v>
      </c>
      <c r="C126">
        <v>5.81</v>
      </c>
      <c r="Q126">
        <v>44</v>
      </c>
      <c r="R126">
        <v>57.5</v>
      </c>
      <c r="T126">
        <f t="shared" si="9"/>
        <v>-1.9793814433086254E-2</v>
      </c>
      <c r="AC126">
        <v>44</v>
      </c>
      <c r="AD126">
        <v>7.63</v>
      </c>
      <c r="AF126">
        <f t="shared" si="8"/>
        <v>-0.17717525773198251</v>
      </c>
    </row>
    <row r="127" spans="1:32" x14ac:dyDescent="0.45">
      <c r="A127">
        <v>48</v>
      </c>
      <c r="B127">
        <v>56.25</v>
      </c>
      <c r="C127">
        <v>5.75</v>
      </c>
      <c r="Q127">
        <v>45</v>
      </c>
      <c r="R127">
        <v>57.5</v>
      </c>
      <c r="T127">
        <f t="shared" si="9"/>
        <v>-1.9793814433086254E-2</v>
      </c>
      <c r="AC127">
        <v>45</v>
      </c>
      <c r="AD127">
        <v>7.63</v>
      </c>
      <c r="AF127">
        <f t="shared" si="8"/>
        <v>-0.17717525773198251</v>
      </c>
    </row>
    <row r="128" spans="1:32" x14ac:dyDescent="0.45">
      <c r="A128">
        <v>49</v>
      </c>
      <c r="B128">
        <v>56.19</v>
      </c>
      <c r="C128">
        <v>5.75</v>
      </c>
      <c r="Q128">
        <v>46</v>
      </c>
      <c r="R128">
        <v>57.5</v>
      </c>
      <c r="T128">
        <f t="shared" si="9"/>
        <v>-1.9793814433086254E-2</v>
      </c>
      <c r="AC128">
        <v>46</v>
      </c>
      <c r="AD128">
        <v>7.69</v>
      </c>
      <c r="AF128">
        <f t="shared" si="8"/>
        <v>-0.11717525773198201</v>
      </c>
    </row>
    <row r="129" spans="1:32" x14ac:dyDescent="0.45">
      <c r="A129">
        <v>50</v>
      </c>
      <c r="B129">
        <v>56.13</v>
      </c>
      <c r="C129">
        <v>5.69</v>
      </c>
      <c r="Q129">
        <v>47</v>
      </c>
      <c r="R129">
        <v>57.5</v>
      </c>
      <c r="T129">
        <f t="shared" si="9"/>
        <v>-1.9793814433086254E-2</v>
      </c>
      <c r="AC129">
        <v>47</v>
      </c>
      <c r="AD129">
        <v>7.69</v>
      </c>
      <c r="AF129">
        <f t="shared" si="8"/>
        <v>-0.11717525773198201</v>
      </c>
    </row>
    <row r="130" spans="1:32" x14ac:dyDescent="0.45">
      <c r="A130">
        <v>51</v>
      </c>
      <c r="B130">
        <v>56.13</v>
      </c>
      <c r="C130">
        <v>5.75</v>
      </c>
      <c r="Q130">
        <v>48</v>
      </c>
      <c r="R130">
        <v>57.5</v>
      </c>
      <c r="T130">
        <f t="shared" si="9"/>
        <v>-1.9793814433086254E-2</v>
      </c>
      <c r="AC130">
        <v>48</v>
      </c>
      <c r="AD130">
        <v>7.63</v>
      </c>
      <c r="AF130">
        <f t="shared" si="8"/>
        <v>-0.17717525773198251</v>
      </c>
    </row>
    <row r="131" spans="1:32" x14ac:dyDescent="0.45">
      <c r="A131">
        <v>52</v>
      </c>
      <c r="B131">
        <v>56.19</v>
      </c>
      <c r="C131">
        <v>5.69</v>
      </c>
      <c r="Q131">
        <v>49</v>
      </c>
      <c r="R131">
        <v>57.56</v>
      </c>
      <c r="T131">
        <f t="shared" si="9"/>
        <v>4.020618556691602E-2</v>
      </c>
      <c r="AC131">
        <v>49</v>
      </c>
      <c r="AD131">
        <v>7.63</v>
      </c>
      <c r="AF131">
        <f t="shared" si="8"/>
        <v>-0.17717525773198251</v>
      </c>
    </row>
    <row r="132" spans="1:32" x14ac:dyDescent="0.45">
      <c r="A132">
        <v>53</v>
      </c>
      <c r="B132">
        <v>56.19</v>
      </c>
      <c r="C132">
        <v>5.69</v>
      </c>
      <c r="Q132">
        <v>50</v>
      </c>
      <c r="R132">
        <v>57.56</v>
      </c>
      <c r="T132">
        <f t="shared" si="9"/>
        <v>4.020618556691602E-2</v>
      </c>
      <c r="AC132">
        <v>50</v>
      </c>
      <c r="AD132">
        <v>7.63</v>
      </c>
      <c r="AF132">
        <f t="shared" si="8"/>
        <v>-0.17717525773198251</v>
      </c>
    </row>
    <row r="133" spans="1:32" x14ac:dyDescent="0.45">
      <c r="A133">
        <v>54</v>
      </c>
      <c r="B133">
        <v>56.25</v>
      </c>
      <c r="C133">
        <v>5.69</v>
      </c>
      <c r="Q133">
        <v>51</v>
      </c>
      <c r="R133">
        <v>57.63</v>
      </c>
      <c r="T133">
        <f t="shared" si="9"/>
        <v>0.1102061855669163</v>
      </c>
      <c r="AC133">
        <v>51</v>
      </c>
      <c r="AD133">
        <v>7.63</v>
      </c>
      <c r="AF133">
        <f t="shared" si="8"/>
        <v>-0.17717525773198251</v>
      </c>
    </row>
    <row r="134" spans="1:32" x14ac:dyDescent="0.45">
      <c r="A134">
        <v>55</v>
      </c>
      <c r="B134">
        <v>56.25</v>
      </c>
      <c r="C134">
        <v>5.69</v>
      </c>
      <c r="Q134">
        <v>52</v>
      </c>
      <c r="R134">
        <v>57.63</v>
      </c>
      <c r="T134">
        <f t="shared" si="9"/>
        <v>0.1102061855669163</v>
      </c>
      <c r="AC134">
        <v>52</v>
      </c>
      <c r="AD134">
        <v>7.63</v>
      </c>
      <c r="AF134">
        <f t="shared" si="8"/>
        <v>-0.17717525773198251</v>
      </c>
    </row>
    <row r="135" spans="1:32" x14ac:dyDescent="0.45">
      <c r="A135">
        <v>56</v>
      </c>
      <c r="B135">
        <v>56.31</v>
      </c>
      <c r="C135">
        <v>5.69</v>
      </c>
      <c r="Q135">
        <v>53</v>
      </c>
      <c r="R135">
        <v>57.63</v>
      </c>
      <c r="T135">
        <f t="shared" si="9"/>
        <v>0.1102061855669163</v>
      </c>
      <c r="AC135">
        <v>53</v>
      </c>
      <c r="AD135">
        <v>7.63</v>
      </c>
      <c r="AF135">
        <f t="shared" si="8"/>
        <v>-0.17717525773198251</v>
      </c>
    </row>
    <row r="136" spans="1:32" x14ac:dyDescent="0.45">
      <c r="A136">
        <v>57</v>
      </c>
      <c r="B136">
        <v>56.38</v>
      </c>
      <c r="C136">
        <v>5.69</v>
      </c>
      <c r="Q136">
        <v>54</v>
      </c>
      <c r="R136">
        <v>57.63</v>
      </c>
      <c r="T136">
        <f t="shared" si="9"/>
        <v>0.1102061855669163</v>
      </c>
      <c r="AC136">
        <v>54</v>
      </c>
      <c r="AD136">
        <v>7.63</v>
      </c>
      <c r="AF136">
        <f t="shared" si="8"/>
        <v>-0.17717525773198251</v>
      </c>
    </row>
    <row r="137" spans="1:32" x14ac:dyDescent="0.45">
      <c r="A137">
        <v>58</v>
      </c>
      <c r="B137">
        <v>56.31</v>
      </c>
      <c r="C137">
        <v>5.69</v>
      </c>
      <c r="Q137">
        <v>55</v>
      </c>
      <c r="R137">
        <v>57.63</v>
      </c>
      <c r="T137">
        <f t="shared" si="9"/>
        <v>0.1102061855669163</v>
      </c>
      <c r="AC137">
        <v>55</v>
      </c>
      <c r="AD137">
        <v>7.63</v>
      </c>
      <c r="AF137">
        <f t="shared" si="8"/>
        <v>-0.17717525773198251</v>
      </c>
    </row>
    <row r="138" spans="1:32" x14ac:dyDescent="0.45">
      <c r="A138">
        <v>59</v>
      </c>
      <c r="B138">
        <v>56.31</v>
      </c>
      <c r="C138">
        <v>5.69</v>
      </c>
      <c r="Q138">
        <v>56</v>
      </c>
      <c r="R138">
        <v>57.69</v>
      </c>
      <c r="T138">
        <f t="shared" si="9"/>
        <v>0.17020618556691147</v>
      </c>
      <c r="AC138">
        <v>56</v>
      </c>
      <c r="AD138">
        <v>7.63</v>
      </c>
      <c r="AF138">
        <f t="shared" si="8"/>
        <v>-0.17717525773198251</v>
      </c>
    </row>
    <row r="139" spans="1:32" x14ac:dyDescent="0.45">
      <c r="A139">
        <v>60</v>
      </c>
      <c r="B139">
        <v>56.31</v>
      </c>
      <c r="C139">
        <v>5.69</v>
      </c>
      <c r="Q139">
        <v>57</v>
      </c>
      <c r="R139">
        <v>57.69</v>
      </c>
      <c r="T139">
        <f t="shared" si="9"/>
        <v>0.17020618556691147</v>
      </c>
      <c r="AC139">
        <v>57</v>
      </c>
      <c r="AD139">
        <v>7.69</v>
      </c>
      <c r="AF139">
        <f t="shared" si="8"/>
        <v>-0.11717525773198201</v>
      </c>
    </row>
    <row r="140" spans="1:32" x14ac:dyDescent="0.45">
      <c r="A140">
        <v>61</v>
      </c>
      <c r="B140">
        <v>56.25</v>
      </c>
      <c r="C140">
        <v>5.69</v>
      </c>
      <c r="Q140">
        <v>58</v>
      </c>
      <c r="R140">
        <v>57.75</v>
      </c>
      <c r="T140">
        <f t="shared" si="9"/>
        <v>0.23020618556691375</v>
      </c>
      <c r="AC140">
        <v>58</v>
      </c>
      <c r="AD140">
        <v>7.69</v>
      </c>
      <c r="AF140">
        <f t="shared" si="8"/>
        <v>-0.11717525773198201</v>
      </c>
    </row>
    <row r="141" spans="1:32" x14ac:dyDescent="0.45">
      <c r="A141">
        <v>62</v>
      </c>
      <c r="B141">
        <v>56.25</v>
      </c>
      <c r="C141">
        <v>5.69</v>
      </c>
      <c r="Q141">
        <v>59</v>
      </c>
      <c r="R141">
        <v>57.81</v>
      </c>
      <c r="T141">
        <f t="shared" si="9"/>
        <v>0.29020618556691602</v>
      </c>
      <c r="AC141">
        <v>59</v>
      </c>
      <c r="AD141">
        <v>7.69</v>
      </c>
      <c r="AF141">
        <f t="shared" si="8"/>
        <v>-0.11717525773198201</v>
      </c>
    </row>
    <row r="142" spans="1:32" x14ac:dyDescent="0.45">
      <c r="A142">
        <v>63</v>
      </c>
      <c r="B142">
        <v>56.19</v>
      </c>
      <c r="C142">
        <v>5.75</v>
      </c>
      <c r="Q142">
        <v>60</v>
      </c>
      <c r="R142">
        <v>57.81</v>
      </c>
      <c r="T142">
        <f t="shared" si="9"/>
        <v>0.29020618556691602</v>
      </c>
      <c r="AC142">
        <v>60</v>
      </c>
      <c r="AD142">
        <v>7.69</v>
      </c>
      <c r="AF142">
        <f t="shared" si="8"/>
        <v>-0.11717525773198201</v>
      </c>
    </row>
    <row r="143" spans="1:32" x14ac:dyDescent="0.45">
      <c r="A143">
        <v>64</v>
      </c>
      <c r="B143">
        <v>56.19</v>
      </c>
      <c r="C143">
        <v>5.75</v>
      </c>
      <c r="Q143">
        <v>61</v>
      </c>
      <c r="R143">
        <v>57.88</v>
      </c>
      <c r="T143">
        <f t="shared" si="9"/>
        <v>0.3602061855669163</v>
      </c>
      <c r="AC143">
        <v>61</v>
      </c>
      <c r="AD143">
        <v>7.69</v>
      </c>
      <c r="AF143">
        <f t="shared" si="8"/>
        <v>-0.11717525773198201</v>
      </c>
    </row>
    <row r="144" spans="1:32" x14ac:dyDescent="0.45">
      <c r="A144">
        <v>65</v>
      </c>
      <c r="B144">
        <v>56.19</v>
      </c>
      <c r="C144">
        <v>5.75</v>
      </c>
      <c r="Q144">
        <v>62</v>
      </c>
      <c r="R144">
        <v>57.88</v>
      </c>
      <c r="T144">
        <f t="shared" si="9"/>
        <v>0.3602061855669163</v>
      </c>
      <c r="AC144">
        <v>62</v>
      </c>
      <c r="AD144">
        <v>7.69</v>
      </c>
      <c r="AF144">
        <f t="shared" si="8"/>
        <v>-0.11717525773198201</v>
      </c>
    </row>
    <row r="145" spans="1:32" x14ac:dyDescent="0.45">
      <c r="A145">
        <v>66</v>
      </c>
      <c r="B145">
        <v>56.13</v>
      </c>
      <c r="C145">
        <v>5.75</v>
      </c>
      <c r="Q145">
        <v>63</v>
      </c>
      <c r="R145">
        <v>57.88</v>
      </c>
      <c r="T145">
        <f t="shared" si="9"/>
        <v>0.3602061855669163</v>
      </c>
      <c r="AC145">
        <v>63</v>
      </c>
      <c r="AD145">
        <v>7.63</v>
      </c>
      <c r="AF145">
        <f t="shared" si="8"/>
        <v>-0.17717525773198251</v>
      </c>
    </row>
    <row r="146" spans="1:32" x14ac:dyDescent="0.45">
      <c r="A146">
        <v>67</v>
      </c>
      <c r="B146">
        <v>56.13</v>
      </c>
      <c r="C146">
        <v>5.81</v>
      </c>
      <c r="Q146">
        <v>64</v>
      </c>
      <c r="R146">
        <v>57.88</v>
      </c>
      <c r="T146">
        <f t="shared" si="9"/>
        <v>0.3602061855669163</v>
      </c>
      <c r="AC146">
        <v>64</v>
      </c>
      <c r="AD146">
        <v>7.63</v>
      </c>
      <c r="AF146">
        <f t="shared" si="8"/>
        <v>-0.17717525773198251</v>
      </c>
    </row>
    <row r="147" spans="1:32" x14ac:dyDescent="0.45">
      <c r="A147">
        <v>68</v>
      </c>
      <c r="B147">
        <v>56.06</v>
      </c>
      <c r="C147">
        <v>5.81</v>
      </c>
      <c r="Q147">
        <v>65</v>
      </c>
      <c r="R147">
        <v>57.88</v>
      </c>
      <c r="T147">
        <f t="shared" si="9"/>
        <v>0.3602061855669163</v>
      </c>
      <c r="AC147">
        <v>65</v>
      </c>
      <c r="AD147">
        <v>7.63</v>
      </c>
      <c r="AF147">
        <f t="shared" ref="AF147:AF210" si="12">(AD147-$AE$82)</f>
        <v>-0.17717525773198251</v>
      </c>
    </row>
    <row r="148" spans="1:32" x14ac:dyDescent="0.45">
      <c r="A148">
        <v>69</v>
      </c>
      <c r="B148">
        <v>56.06</v>
      </c>
      <c r="C148">
        <v>5.81</v>
      </c>
      <c r="Q148">
        <v>66</v>
      </c>
      <c r="R148">
        <v>57.88</v>
      </c>
      <c r="T148">
        <f t="shared" ref="T148:T211" si="13">(R148-$S$82)</f>
        <v>0.3602061855669163</v>
      </c>
      <c r="AC148">
        <v>66</v>
      </c>
      <c r="AD148">
        <v>7.69</v>
      </c>
      <c r="AF148">
        <f t="shared" si="12"/>
        <v>-0.11717525773198201</v>
      </c>
    </row>
    <row r="149" spans="1:32" x14ac:dyDescent="0.45">
      <c r="A149">
        <v>70</v>
      </c>
      <c r="B149">
        <v>56</v>
      </c>
      <c r="C149">
        <v>5.81</v>
      </c>
      <c r="Q149">
        <v>67</v>
      </c>
      <c r="R149">
        <v>57.88</v>
      </c>
      <c r="T149">
        <f t="shared" si="13"/>
        <v>0.3602061855669163</v>
      </c>
      <c r="AC149">
        <v>67</v>
      </c>
      <c r="AD149">
        <v>7.69</v>
      </c>
      <c r="AF149">
        <f t="shared" si="12"/>
        <v>-0.11717525773198201</v>
      </c>
    </row>
    <row r="150" spans="1:32" x14ac:dyDescent="0.45">
      <c r="A150">
        <v>71</v>
      </c>
      <c r="B150">
        <v>55.94</v>
      </c>
      <c r="C150">
        <v>5.81</v>
      </c>
      <c r="Q150">
        <v>68</v>
      </c>
      <c r="R150">
        <v>57.81</v>
      </c>
      <c r="T150">
        <f t="shared" si="13"/>
        <v>0.29020618556691602</v>
      </c>
      <c r="AC150">
        <v>68</v>
      </c>
      <c r="AD150">
        <v>7.69</v>
      </c>
      <c r="AF150">
        <f t="shared" si="12"/>
        <v>-0.11717525773198201</v>
      </c>
    </row>
    <row r="151" spans="1:32" x14ac:dyDescent="0.45">
      <c r="A151">
        <v>72</v>
      </c>
      <c r="B151">
        <v>55.88</v>
      </c>
      <c r="C151">
        <v>5.81</v>
      </c>
      <c r="Q151">
        <v>69</v>
      </c>
      <c r="R151">
        <v>57.81</v>
      </c>
      <c r="T151">
        <f t="shared" si="13"/>
        <v>0.29020618556691602</v>
      </c>
      <c r="AC151">
        <v>69</v>
      </c>
      <c r="AD151">
        <v>7.69</v>
      </c>
      <c r="AF151">
        <f t="shared" si="12"/>
        <v>-0.11717525773198201</v>
      </c>
    </row>
    <row r="152" spans="1:32" x14ac:dyDescent="0.45">
      <c r="A152">
        <v>73</v>
      </c>
      <c r="B152">
        <v>55.88</v>
      </c>
      <c r="C152">
        <v>5.81</v>
      </c>
      <c r="Q152">
        <v>70</v>
      </c>
      <c r="R152">
        <v>57.75</v>
      </c>
      <c r="T152">
        <f t="shared" si="13"/>
        <v>0.23020618556691375</v>
      </c>
      <c r="AC152">
        <v>70</v>
      </c>
      <c r="AD152">
        <v>7.69</v>
      </c>
      <c r="AF152">
        <f t="shared" si="12"/>
        <v>-0.11717525773198201</v>
      </c>
    </row>
    <row r="153" spans="1:32" x14ac:dyDescent="0.45">
      <c r="A153">
        <v>74</v>
      </c>
      <c r="B153">
        <v>55.81</v>
      </c>
      <c r="C153">
        <v>5.81</v>
      </c>
      <c r="Q153">
        <v>71</v>
      </c>
      <c r="R153">
        <v>57.75</v>
      </c>
      <c r="T153">
        <f t="shared" si="13"/>
        <v>0.23020618556691375</v>
      </c>
      <c r="AC153">
        <v>71</v>
      </c>
      <c r="AD153">
        <v>7.69</v>
      </c>
      <c r="AF153">
        <f t="shared" si="12"/>
        <v>-0.11717525773198201</v>
      </c>
    </row>
    <row r="154" spans="1:32" x14ac:dyDescent="0.45">
      <c r="A154">
        <v>75</v>
      </c>
      <c r="B154">
        <v>55.81</v>
      </c>
      <c r="C154">
        <v>5.88</v>
      </c>
      <c r="Q154">
        <v>72</v>
      </c>
      <c r="R154">
        <v>57.75</v>
      </c>
      <c r="T154">
        <f t="shared" si="13"/>
        <v>0.23020618556691375</v>
      </c>
      <c r="AC154">
        <v>72</v>
      </c>
      <c r="AD154">
        <v>7.69</v>
      </c>
      <c r="AF154">
        <f t="shared" si="12"/>
        <v>-0.11717525773198201</v>
      </c>
    </row>
    <row r="155" spans="1:32" x14ac:dyDescent="0.45">
      <c r="A155">
        <v>76</v>
      </c>
      <c r="B155">
        <v>55.44</v>
      </c>
      <c r="C155">
        <v>5.88</v>
      </c>
      <c r="Q155">
        <v>73</v>
      </c>
      <c r="R155">
        <v>57.81</v>
      </c>
      <c r="T155">
        <f t="shared" si="13"/>
        <v>0.29020618556691602</v>
      </c>
      <c r="AC155">
        <v>73</v>
      </c>
      <c r="AD155">
        <v>7.69</v>
      </c>
      <c r="AF155">
        <f t="shared" si="12"/>
        <v>-0.11717525773198201</v>
      </c>
    </row>
    <row r="156" spans="1:32" x14ac:dyDescent="0.45">
      <c r="A156">
        <v>77</v>
      </c>
      <c r="B156">
        <v>54.56</v>
      </c>
      <c r="C156">
        <v>5.88</v>
      </c>
      <c r="Q156">
        <v>74</v>
      </c>
      <c r="R156">
        <v>57.81</v>
      </c>
      <c r="T156">
        <f t="shared" si="13"/>
        <v>0.29020618556691602</v>
      </c>
      <c r="AC156">
        <v>74</v>
      </c>
      <c r="AD156">
        <v>7.69</v>
      </c>
      <c r="AF156">
        <f t="shared" si="12"/>
        <v>-0.11717525773198201</v>
      </c>
    </row>
    <row r="157" spans="1:32" x14ac:dyDescent="0.45">
      <c r="A157">
        <v>78</v>
      </c>
      <c r="B157">
        <v>53.44</v>
      </c>
      <c r="C157">
        <v>5.75</v>
      </c>
      <c r="Q157">
        <v>75</v>
      </c>
      <c r="R157">
        <v>57.81</v>
      </c>
      <c r="T157">
        <f t="shared" si="13"/>
        <v>0.29020618556691602</v>
      </c>
      <c r="AC157">
        <v>75</v>
      </c>
      <c r="AD157">
        <v>7.69</v>
      </c>
      <c r="AF157">
        <f t="shared" si="12"/>
        <v>-0.11717525773198201</v>
      </c>
    </row>
    <row r="158" spans="1:32" x14ac:dyDescent="0.45">
      <c r="A158">
        <v>79</v>
      </c>
      <c r="B158">
        <v>52.5</v>
      </c>
      <c r="C158">
        <v>5.75</v>
      </c>
      <c r="Q158">
        <v>76</v>
      </c>
      <c r="R158">
        <v>57.81</v>
      </c>
      <c r="T158">
        <f t="shared" si="13"/>
        <v>0.29020618556691602</v>
      </c>
      <c r="AC158">
        <v>76</v>
      </c>
      <c r="AD158">
        <v>7.69</v>
      </c>
      <c r="AF158">
        <f t="shared" si="12"/>
        <v>-0.11717525773198201</v>
      </c>
    </row>
    <row r="159" spans="1:32" x14ac:dyDescent="0.45">
      <c r="A159">
        <v>80</v>
      </c>
      <c r="B159">
        <v>51.56</v>
      </c>
      <c r="C159">
        <v>5.75</v>
      </c>
      <c r="Q159">
        <v>77</v>
      </c>
      <c r="R159">
        <v>57.75</v>
      </c>
      <c r="T159">
        <f t="shared" si="13"/>
        <v>0.23020618556691375</v>
      </c>
      <c r="AC159">
        <v>77</v>
      </c>
      <c r="AD159">
        <v>7.69</v>
      </c>
      <c r="AF159">
        <f t="shared" si="12"/>
        <v>-0.11717525773198201</v>
      </c>
    </row>
    <row r="160" spans="1:32" x14ac:dyDescent="0.45">
      <c r="A160">
        <v>81</v>
      </c>
      <c r="B160">
        <v>50.63</v>
      </c>
      <c r="C160">
        <v>5.75</v>
      </c>
      <c r="Q160">
        <v>78</v>
      </c>
      <c r="R160">
        <v>57.75</v>
      </c>
      <c r="T160">
        <f t="shared" si="13"/>
        <v>0.23020618556691375</v>
      </c>
      <c r="AC160">
        <v>78</v>
      </c>
      <c r="AD160">
        <v>7.63</v>
      </c>
      <c r="AF160">
        <f t="shared" si="12"/>
        <v>-0.17717525773198251</v>
      </c>
    </row>
    <row r="161" spans="1:32" x14ac:dyDescent="0.45">
      <c r="A161">
        <v>82</v>
      </c>
      <c r="B161">
        <v>49.69</v>
      </c>
      <c r="C161">
        <v>5.75</v>
      </c>
      <c r="Q161">
        <v>79</v>
      </c>
      <c r="R161">
        <v>57.75</v>
      </c>
      <c r="T161">
        <f t="shared" si="13"/>
        <v>0.23020618556691375</v>
      </c>
      <c r="AC161">
        <v>79</v>
      </c>
      <c r="AD161">
        <v>7.63</v>
      </c>
      <c r="AF161">
        <f t="shared" si="12"/>
        <v>-0.17717525773198251</v>
      </c>
    </row>
    <row r="162" spans="1:32" x14ac:dyDescent="0.45">
      <c r="A162">
        <v>83</v>
      </c>
      <c r="B162">
        <v>48.88</v>
      </c>
      <c r="C162">
        <v>5.75</v>
      </c>
      <c r="Q162">
        <v>80</v>
      </c>
      <c r="R162">
        <v>57.75</v>
      </c>
      <c r="T162">
        <f t="shared" si="13"/>
        <v>0.23020618556691375</v>
      </c>
      <c r="AC162">
        <v>80</v>
      </c>
      <c r="AD162">
        <v>7.63</v>
      </c>
      <c r="AF162">
        <f t="shared" si="12"/>
        <v>-0.17717525773198251</v>
      </c>
    </row>
    <row r="163" spans="1:32" x14ac:dyDescent="0.45">
      <c r="A163">
        <v>84</v>
      </c>
      <c r="B163">
        <v>48.06</v>
      </c>
      <c r="C163">
        <v>5.75</v>
      </c>
      <c r="Q163">
        <v>81</v>
      </c>
      <c r="R163">
        <v>57.69</v>
      </c>
      <c r="T163">
        <f t="shared" si="13"/>
        <v>0.17020618556691147</v>
      </c>
      <c r="AC163">
        <v>81</v>
      </c>
      <c r="AD163">
        <v>7.63</v>
      </c>
      <c r="AF163">
        <f t="shared" si="12"/>
        <v>-0.17717525773198251</v>
      </c>
    </row>
    <row r="164" spans="1:32" x14ac:dyDescent="0.45">
      <c r="A164">
        <v>85</v>
      </c>
      <c r="B164">
        <v>47.31</v>
      </c>
      <c r="C164">
        <v>5.75</v>
      </c>
      <c r="Q164">
        <v>82</v>
      </c>
      <c r="R164">
        <v>57.75</v>
      </c>
      <c r="T164">
        <f t="shared" si="13"/>
        <v>0.23020618556691375</v>
      </c>
      <c r="AC164">
        <v>82</v>
      </c>
      <c r="AD164">
        <v>7.63</v>
      </c>
      <c r="AF164">
        <f t="shared" si="12"/>
        <v>-0.17717525773198251</v>
      </c>
    </row>
    <row r="165" spans="1:32" x14ac:dyDescent="0.45">
      <c r="A165">
        <v>86</v>
      </c>
      <c r="B165">
        <v>46.56</v>
      </c>
      <c r="C165">
        <v>5.75</v>
      </c>
      <c r="Q165">
        <v>83</v>
      </c>
      <c r="R165">
        <v>57.75</v>
      </c>
      <c r="T165">
        <f t="shared" si="13"/>
        <v>0.23020618556691375</v>
      </c>
      <c r="AC165">
        <v>83</v>
      </c>
      <c r="AD165">
        <v>7.69</v>
      </c>
      <c r="AF165">
        <f t="shared" si="12"/>
        <v>-0.11717525773198201</v>
      </c>
    </row>
    <row r="166" spans="1:32" x14ac:dyDescent="0.45">
      <c r="A166">
        <v>87</v>
      </c>
      <c r="B166">
        <v>45.88</v>
      </c>
      <c r="C166">
        <v>5.75</v>
      </c>
      <c r="Q166">
        <v>84</v>
      </c>
      <c r="R166">
        <v>57.75</v>
      </c>
      <c r="T166">
        <f t="shared" si="13"/>
        <v>0.23020618556691375</v>
      </c>
      <c r="AC166">
        <v>84</v>
      </c>
      <c r="AD166">
        <v>7.69</v>
      </c>
      <c r="AF166">
        <f t="shared" si="12"/>
        <v>-0.11717525773198201</v>
      </c>
    </row>
    <row r="167" spans="1:32" x14ac:dyDescent="0.45">
      <c r="A167">
        <v>88</v>
      </c>
      <c r="B167">
        <v>45.13</v>
      </c>
      <c r="C167">
        <v>5.75</v>
      </c>
      <c r="Q167">
        <v>85</v>
      </c>
      <c r="R167">
        <v>57.75</v>
      </c>
      <c r="T167">
        <f t="shared" si="13"/>
        <v>0.23020618556691375</v>
      </c>
      <c r="AC167">
        <v>85</v>
      </c>
      <c r="AD167">
        <v>7.69</v>
      </c>
      <c r="AF167">
        <f t="shared" si="12"/>
        <v>-0.11717525773198201</v>
      </c>
    </row>
    <row r="168" spans="1:32" x14ac:dyDescent="0.45">
      <c r="A168">
        <v>89</v>
      </c>
      <c r="B168">
        <v>44.44</v>
      </c>
      <c r="C168">
        <v>5.81</v>
      </c>
      <c r="Q168">
        <v>86</v>
      </c>
      <c r="R168">
        <v>57.69</v>
      </c>
      <c r="T168">
        <f t="shared" si="13"/>
        <v>0.17020618556691147</v>
      </c>
      <c r="AC168">
        <v>86</v>
      </c>
      <c r="AD168">
        <v>7.69</v>
      </c>
      <c r="AF168">
        <f t="shared" si="12"/>
        <v>-0.11717525773198201</v>
      </c>
    </row>
    <row r="169" spans="1:32" x14ac:dyDescent="0.45">
      <c r="A169">
        <v>90</v>
      </c>
      <c r="B169">
        <v>43.75</v>
      </c>
      <c r="C169">
        <v>5.81</v>
      </c>
      <c r="Q169">
        <v>87</v>
      </c>
      <c r="R169">
        <v>57.63</v>
      </c>
      <c r="T169">
        <f t="shared" si="13"/>
        <v>0.1102061855669163</v>
      </c>
      <c r="AC169">
        <v>87</v>
      </c>
      <c r="AD169">
        <v>7.69</v>
      </c>
      <c r="AF169">
        <f t="shared" si="12"/>
        <v>-0.11717525773198201</v>
      </c>
    </row>
    <row r="170" spans="1:32" x14ac:dyDescent="0.45">
      <c r="A170">
        <v>91</v>
      </c>
      <c r="B170">
        <v>43.13</v>
      </c>
      <c r="C170">
        <v>5.81</v>
      </c>
      <c r="Q170">
        <v>88</v>
      </c>
      <c r="R170">
        <v>57.56</v>
      </c>
      <c r="T170">
        <f t="shared" si="13"/>
        <v>4.020618556691602E-2</v>
      </c>
      <c r="AC170">
        <v>88</v>
      </c>
      <c r="AD170">
        <v>7.69</v>
      </c>
      <c r="AF170">
        <f t="shared" si="12"/>
        <v>-0.11717525773198201</v>
      </c>
    </row>
    <row r="171" spans="1:32" x14ac:dyDescent="0.45">
      <c r="A171">
        <v>92</v>
      </c>
      <c r="B171">
        <v>42.5</v>
      </c>
      <c r="C171">
        <v>5.81</v>
      </c>
      <c r="Q171">
        <v>89</v>
      </c>
      <c r="R171">
        <v>57.56</v>
      </c>
      <c r="T171">
        <f t="shared" si="13"/>
        <v>4.020618556691602E-2</v>
      </c>
      <c r="AC171">
        <v>89</v>
      </c>
      <c r="AD171">
        <v>7.69</v>
      </c>
      <c r="AF171">
        <f t="shared" si="12"/>
        <v>-0.11717525773198201</v>
      </c>
    </row>
    <row r="172" spans="1:32" x14ac:dyDescent="0.45">
      <c r="A172">
        <v>93</v>
      </c>
      <c r="B172">
        <v>41.88</v>
      </c>
      <c r="C172">
        <v>5.81</v>
      </c>
      <c r="Q172">
        <v>90</v>
      </c>
      <c r="R172">
        <v>57.5</v>
      </c>
      <c r="T172">
        <f t="shared" si="13"/>
        <v>-1.9793814433086254E-2</v>
      </c>
      <c r="AC172">
        <v>90</v>
      </c>
      <c r="AD172">
        <v>7.69</v>
      </c>
      <c r="AF172">
        <f t="shared" si="12"/>
        <v>-0.11717525773198201</v>
      </c>
    </row>
    <row r="173" spans="1:32" x14ac:dyDescent="0.45">
      <c r="A173">
        <v>94</v>
      </c>
      <c r="B173">
        <v>41.31</v>
      </c>
      <c r="C173">
        <v>5.81</v>
      </c>
      <c r="Q173">
        <v>91</v>
      </c>
      <c r="R173">
        <v>57.5</v>
      </c>
      <c r="T173">
        <f t="shared" si="13"/>
        <v>-1.9793814433086254E-2</v>
      </c>
      <c r="AC173">
        <v>91</v>
      </c>
      <c r="AD173">
        <v>7.69</v>
      </c>
      <c r="AF173">
        <f t="shared" si="12"/>
        <v>-0.11717525773198201</v>
      </c>
    </row>
    <row r="174" spans="1:32" x14ac:dyDescent="0.45">
      <c r="A174">
        <v>95</v>
      </c>
      <c r="B174">
        <v>40.69</v>
      </c>
      <c r="C174">
        <v>5.81</v>
      </c>
      <c r="Q174">
        <v>92</v>
      </c>
      <c r="R174">
        <v>57.44</v>
      </c>
      <c r="T174">
        <f t="shared" si="13"/>
        <v>-7.9793814433088528E-2</v>
      </c>
      <c r="AC174">
        <v>92</v>
      </c>
      <c r="AD174">
        <v>7.69</v>
      </c>
      <c r="AF174">
        <f t="shared" si="12"/>
        <v>-0.11717525773198201</v>
      </c>
    </row>
    <row r="175" spans="1:32" x14ac:dyDescent="0.45">
      <c r="A175">
        <v>96</v>
      </c>
      <c r="B175">
        <v>40.19</v>
      </c>
      <c r="C175">
        <v>5.81</v>
      </c>
      <c r="Q175">
        <v>93</v>
      </c>
      <c r="R175">
        <v>57.44</v>
      </c>
      <c r="T175">
        <f t="shared" si="13"/>
        <v>-7.9793814433088528E-2</v>
      </c>
      <c r="AC175">
        <v>93</v>
      </c>
      <c r="AD175">
        <v>7.69</v>
      </c>
      <c r="AF175">
        <f t="shared" si="12"/>
        <v>-0.11717525773198201</v>
      </c>
    </row>
    <row r="176" spans="1:32" x14ac:dyDescent="0.45">
      <c r="A176">
        <v>97</v>
      </c>
      <c r="B176">
        <v>39.69</v>
      </c>
      <c r="C176">
        <v>5.81</v>
      </c>
      <c r="Q176">
        <v>94</v>
      </c>
      <c r="R176">
        <v>57.38</v>
      </c>
      <c r="T176">
        <f t="shared" si="13"/>
        <v>-0.1397938144330837</v>
      </c>
      <c r="AC176">
        <v>94</v>
      </c>
      <c r="AD176">
        <v>7.75</v>
      </c>
      <c r="AF176">
        <f t="shared" si="12"/>
        <v>-5.7175257731982398E-2</v>
      </c>
    </row>
    <row r="177" spans="1:32" x14ac:dyDescent="0.45">
      <c r="A177">
        <v>98</v>
      </c>
      <c r="B177">
        <v>39.25</v>
      </c>
      <c r="C177">
        <v>5.81</v>
      </c>
      <c r="Q177">
        <v>95</v>
      </c>
      <c r="R177">
        <v>57.38</v>
      </c>
      <c r="T177">
        <f t="shared" si="13"/>
        <v>-0.1397938144330837</v>
      </c>
      <c r="AC177">
        <v>95</v>
      </c>
      <c r="AD177">
        <v>7.69</v>
      </c>
      <c r="AF177">
        <f t="shared" si="12"/>
        <v>-0.11717525773198201</v>
      </c>
    </row>
    <row r="178" spans="1:32" x14ac:dyDescent="0.45">
      <c r="A178">
        <v>99</v>
      </c>
      <c r="B178">
        <v>38.75</v>
      </c>
      <c r="C178">
        <v>5.81</v>
      </c>
      <c r="Q178">
        <v>96</v>
      </c>
      <c r="R178">
        <v>57.38</v>
      </c>
      <c r="T178">
        <f t="shared" si="13"/>
        <v>-0.1397938144330837</v>
      </c>
      <c r="AC178">
        <v>96</v>
      </c>
      <c r="AD178">
        <v>7.69</v>
      </c>
      <c r="AF178">
        <f t="shared" si="12"/>
        <v>-0.11717525773198201</v>
      </c>
    </row>
    <row r="179" spans="1:32" x14ac:dyDescent="0.45">
      <c r="A179">
        <v>100</v>
      </c>
      <c r="B179">
        <v>38.31</v>
      </c>
      <c r="C179">
        <v>5.81</v>
      </c>
      <c r="Q179">
        <v>97</v>
      </c>
      <c r="R179">
        <v>57.38</v>
      </c>
      <c r="T179">
        <f t="shared" si="13"/>
        <v>-0.1397938144330837</v>
      </c>
      <c r="AC179">
        <v>97</v>
      </c>
      <c r="AD179">
        <v>7.69</v>
      </c>
      <c r="AF179">
        <f t="shared" si="12"/>
        <v>-0.11717525773198201</v>
      </c>
    </row>
    <row r="180" spans="1:32" x14ac:dyDescent="0.45">
      <c r="A180">
        <v>101</v>
      </c>
      <c r="B180">
        <v>37.81</v>
      </c>
      <c r="C180">
        <v>5.88</v>
      </c>
      <c r="Q180">
        <v>98</v>
      </c>
      <c r="R180">
        <v>57.38</v>
      </c>
      <c r="T180">
        <f t="shared" si="13"/>
        <v>-0.1397938144330837</v>
      </c>
      <c r="AC180">
        <v>98</v>
      </c>
      <c r="AD180">
        <v>7.69</v>
      </c>
      <c r="AF180">
        <f t="shared" si="12"/>
        <v>-0.11717525773198201</v>
      </c>
    </row>
    <row r="181" spans="1:32" x14ac:dyDescent="0.45">
      <c r="A181">
        <v>102</v>
      </c>
      <c r="B181">
        <v>37.380000000000003</v>
      </c>
      <c r="C181">
        <v>5.88</v>
      </c>
      <c r="Q181">
        <v>99</v>
      </c>
      <c r="R181">
        <v>57.31</v>
      </c>
      <c r="T181">
        <f t="shared" si="13"/>
        <v>-0.20979381443308398</v>
      </c>
      <c r="AC181">
        <v>99</v>
      </c>
      <c r="AD181">
        <v>7.69</v>
      </c>
      <c r="AF181">
        <f t="shared" si="12"/>
        <v>-0.11717525773198201</v>
      </c>
    </row>
    <row r="182" spans="1:32" x14ac:dyDescent="0.45">
      <c r="A182">
        <v>103</v>
      </c>
      <c r="B182">
        <v>36.880000000000003</v>
      </c>
      <c r="C182">
        <v>5.88</v>
      </c>
      <c r="Q182">
        <v>100</v>
      </c>
      <c r="R182">
        <v>57.25</v>
      </c>
      <c r="T182">
        <f t="shared" si="13"/>
        <v>-0.26979381443308625</v>
      </c>
      <c r="AC182">
        <v>100</v>
      </c>
      <c r="AD182">
        <v>7.69</v>
      </c>
      <c r="AF182">
        <f t="shared" si="12"/>
        <v>-0.11717525773198201</v>
      </c>
    </row>
    <row r="183" spans="1:32" x14ac:dyDescent="0.45">
      <c r="A183">
        <v>104</v>
      </c>
      <c r="B183">
        <v>36.44</v>
      </c>
      <c r="C183">
        <v>5.88</v>
      </c>
      <c r="Q183">
        <v>101</v>
      </c>
      <c r="R183">
        <v>57.31</v>
      </c>
      <c r="T183">
        <f t="shared" si="13"/>
        <v>-0.20979381443308398</v>
      </c>
      <c r="AC183">
        <v>101</v>
      </c>
      <c r="AD183">
        <v>7.69</v>
      </c>
      <c r="AF183">
        <f t="shared" si="12"/>
        <v>-0.11717525773198201</v>
      </c>
    </row>
    <row r="184" spans="1:32" x14ac:dyDescent="0.45">
      <c r="A184">
        <v>105</v>
      </c>
      <c r="B184">
        <v>36.06</v>
      </c>
      <c r="C184">
        <v>5.88</v>
      </c>
      <c r="Q184">
        <v>102</v>
      </c>
      <c r="R184">
        <v>57.31</v>
      </c>
      <c r="T184">
        <f t="shared" si="13"/>
        <v>-0.20979381443308398</v>
      </c>
      <c r="AC184">
        <v>102</v>
      </c>
      <c r="AD184">
        <v>7.69</v>
      </c>
      <c r="AF184">
        <f t="shared" si="12"/>
        <v>-0.11717525773198201</v>
      </c>
    </row>
    <row r="185" spans="1:32" x14ac:dyDescent="0.45">
      <c r="A185">
        <v>106</v>
      </c>
      <c r="B185">
        <v>35.69</v>
      </c>
      <c r="C185">
        <v>5.94</v>
      </c>
      <c r="Q185">
        <v>103</v>
      </c>
      <c r="R185">
        <v>57.31</v>
      </c>
      <c r="T185">
        <f t="shared" si="13"/>
        <v>-0.20979381443308398</v>
      </c>
      <c r="AC185">
        <v>103</v>
      </c>
      <c r="AD185">
        <v>7.69</v>
      </c>
      <c r="AF185">
        <f t="shared" si="12"/>
        <v>-0.11717525773198201</v>
      </c>
    </row>
    <row r="186" spans="1:32" x14ac:dyDescent="0.45">
      <c r="A186">
        <v>107</v>
      </c>
      <c r="B186">
        <v>35.31</v>
      </c>
      <c r="C186">
        <v>5.94</v>
      </c>
      <c r="Q186">
        <v>104</v>
      </c>
      <c r="R186">
        <v>57.31</v>
      </c>
      <c r="T186">
        <f t="shared" si="13"/>
        <v>-0.20979381443308398</v>
      </c>
      <c r="AC186">
        <v>104</v>
      </c>
      <c r="AD186">
        <v>7.69</v>
      </c>
      <c r="AF186">
        <f t="shared" si="12"/>
        <v>-0.11717525773198201</v>
      </c>
    </row>
    <row r="187" spans="1:32" x14ac:dyDescent="0.45">
      <c r="A187">
        <v>108</v>
      </c>
      <c r="B187">
        <v>35</v>
      </c>
      <c r="C187">
        <v>5.94</v>
      </c>
      <c r="Q187">
        <v>105</v>
      </c>
      <c r="R187">
        <v>57.31</v>
      </c>
      <c r="T187">
        <f t="shared" si="13"/>
        <v>-0.20979381443308398</v>
      </c>
      <c r="AC187">
        <v>105</v>
      </c>
      <c r="AD187">
        <v>7.69</v>
      </c>
      <c r="AF187">
        <f t="shared" si="12"/>
        <v>-0.11717525773198201</v>
      </c>
    </row>
    <row r="188" spans="1:32" x14ac:dyDescent="0.45">
      <c r="A188">
        <v>109</v>
      </c>
      <c r="B188">
        <v>34.69</v>
      </c>
      <c r="C188">
        <v>5.94</v>
      </c>
      <c r="Q188">
        <v>106</v>
      </c>
      <c r="R188">
        <v>57.38</v>
      </c>
      <c r="T188">
        <f t="shared" si="13"/>
        <v>-0.1397938144330837</v>
      </c>
      <c r="AC188">
        <v>106</v>
      </c>
      <c r="AD188">
        <v>7.69</v>
      </c>
      <c r="AF188">
        <f t="shared" si="12"/>
        <v>-0.11717525773198201</v>
      </c>
    </row>
    <row r="189" spans="1:32" x14ac:dyDescent="0.45">
      <c r="A189">
        <v>110</v>
      </c>
      <c r="B189">
        <v>34.380000000000003</v>
      </c>
      <c r="C189">
        <v>6</v>
      </c>
      <c r="Q189">
        <v>107</v>
      </c>
      <c r="R189">
        <v>57.38</v>
      </c>
      <c r="T189">
        <f t="shared" si="13"/>
        <v>-0.1397938144330837</v>
      </c>
      <c r="AC189">
        <v>107</v>
      </c>
      <c r="AD189">
        <v>7.69</v>
      </c>
      <c r="AF189">
        <f t="shared" si="12"/>
        <v>-0.11717525773198201</v>
      </c>
    </row>
    <row r="190" spans="1:32" x14ac:dyDescent="0.45">
      <c r="A190">
        <v>111</v>
      </c>
      <c r="B190">
        <v>34.06</v>
      </c>
      <c r="C190">
        <v>5.94</v>
      </c>
      <c r="Q190">
        <v>108</v>
      </c>
      <c r="R190">
        <v>57.38</v>
      </c>
      <c r="T190">
        <f t="shared" si="13"/>
        <v>-0.1397938144330837</v>
      </c>
      <c r="AC190">
        <v>108</v>
      </c>
      <c r="AD190">
        <v>7.69</v>
      </c>
      <c r="AF190">
        <f t="shared" si="12"/>
        <v>-0.11717525773198201</v>
      </c>
    </row>
    <row r="191" spans="1:32" x14ac:dyDescent="0.45">
      <c r="A191">
        <v>112</v>
      </c>
      <c r="B191">
        <v>33.75</v>
      </c>
      <c r="C191">
        <v>6</v>
      </c>
      <c r="Q191">
        <v>109</v>
      </c>
      <c r="R191">
        <v>57.38</v>
      </c>
      <c r="T191">
        <f t="shared" si="13"/>
        <v>-0.1397938144330837</v>
      </c>
      <c r="AC191">
        <v>109</v>
      </c>
      <c r="AD191">
        <v>7.69</v>
      </c>
      <c r="AF191">
        <f t="shared" si="12"/>
        <v>-0.11717525773198201</v>
      </c>
    </row>
    <row r="192" spans="1:32" x14ac:dyDescent="0.45">
      <c r="A192">
        <v>113</v>
      </c>
      <c r="B192">
        <v>33.44</v>
      </c>
      <c r="C192">
        <v>6</v>
      </c>
      <c r="Q192">
        <v>110</v>
      </c>
      <c r="R192">
        <v>57.38</v>
      </c>
      <c r="T192">
        <f t="shared" si="13"/>
        <v>-0.1397938144330837</v>
      </c>
      <c r="AC192">
        <v>110</v>
      </c>
      <c r="AD192">
        <v>7.69</v>
      </c>
      <c r="AF192">
        <f t="shared" si="12"/>
        <v>-0.11717525773198201</v>
      </c>
    </row>
    <row r="193" spans="1:32" x14ac:dyDescent="0.45">
      <c r="A193">
        <v>114</v>
      </c>
      <c r="B193">
        <v>33.130000000000003</v>
      </c>
      <c r="C193">
        <v>5.94</v>
      </c>
      <c r="Q193">
        <v>111</v>
      </c>
      <c r="R193">
        <v>57.31</v>
      </c>
      <c r="T193">
        <f t="shared" si="13"/>
        <v>-0.20979381443308398</v>
      </c>
      <c r="AC193">
        <v>111</v>
      </c>
      <c r="AD193">
        <v>7.69</v>
      </c>
      <c r="AF193">
        <f t="shared" si="12"/>
        <v>-0.11717525773198201</v>
      </c>
    </row>
    <row r="194" spans="1:32" x14ac:dyDescent="0.45">
      <c r="A194">
        <v>115</v>
      </c>
      <c r="B194">
        <v>32.880000000000003</v>
      </c>
      <c r="C194">
        <v>5.94</v>
      </c>
      <c r="Q194">
        <v>112</v>
      </c>
      <c r="R194">
        <v>57.31</v>
      </c>
      <c r="T194">
        <f t="shared" si="13"/>
        <v>-0.20979381443308398</v>
      </c>
      <c r="AC194">
        <v>112</v>
      </c>
      <c r="AD194">
        <v>7.69</v>
      </c>
      <c r="AF194">
        <f t="shared" si="12"/>
        <v>-0.11717525773198201</v>
      </c>
    </row>
    <row r="195" spans="1:32" x14ac:dyDescent="0.45">
      <c r="A195">
        <v>116</v>
      </c>
      <c r="B195">
        <v>32.56</v>
      </c>
      <c r="C195">
        <v>5.94</v>
      </c>
      <c r="Q195">
        <v>113</v>
      </c>
      <c r="R195">
        <v>57.31</v>
      </c>
      <c r="T195">
        <f t="shared" si="13"/>
        <v>-0.20979381443308398</v>
      </c>
      <c r="AC195">
        <v>113</v>
      </c>
      <c r="AD195">
        <v>7.69</v>
      </c>
      <c r="AF195">
        <f t="shared" si="12"/>
        <v>-0.11717525773198201</v>
      </c>
    </row>
    <row r="196" spans="1:32" x14ac:dyDescent="0.45">
      <c r="A196">
        <v>117</v>
      </c>
      <c r="B196">
        <v>32.31</v>
      </c>
      <c r="C196">
        <v>5.94</v>
      </c>
      <c r="Q196">
        <v>114</v>
      </c>
      <c r="R196">
        <v>57.31</v>
      </c>
      <c r="T196">
        <f t="shared" si="13"/>
        <v>-0.20979381443308398</v>
      </c>
      <c r="AC196">
        <v>114</v>
      </c>
      <c r="AD196">
        <v>7.69</v>
      </c>
      <c r="AF196">
        <f t="shared" si="12"/>
        <v>-0.11717525773198201</v>
      </c>
    </row>
    <row r="197" spans="1:32" x14ac:dyDescent="0.45">
      <c r="A197">
        <v>118</v>
      </c>
      <c r="B197">
        <v>32</v>
      </c>
      <c r="C197">
        <v>5.94</v>
      </c>
      <c r="Q197">
        <v>115</v>
      </c>
      <c r="R197">
        <v>57.31</v>
      </c>
      <c r="T197">
        <f t="shared" si="13"/>
        <v>-0.20979381443308398</v>
      </c>
      <c r="AC197">
        <v>115</v>
      </c>
      <c r="AD197">
        <v>7.69</v>
      </c>
      <c r="AF197">
        <f t="shared" si="12"/>
        <v>-0.11717525773198201</v>
      </c>
    </row>
    <row r="198" spans="1:32" x14ac:dyDescent="0.45">
      <c r="A198">
        <v>119</v>
      </c>
      <c r="B198">
        <v>31.75</v>
      </c>
      <c r="C198">
        <v>5.88</v>
      </c>
      <c r="Q198">
        <v>116</v>
      </c>
      <c r="R198">
        <v>57.31</v>
      </c>
      <c r="T198">
        <f t="shared" si="13"/>
        <v>-0.20979381443308398</v>
      </c>
      <c r="AC198">
        <v>116</v>
      </c>
      <c r="AD198">
        <v>7.69</v>
      </c>
      <c r="AF198">
        <f t="shared" si="12"/>
        <v>-0.11717525773198201</v>
      </c>
    </row>
    <row r="199" spans="1:32" x14ac:dyDescent="0.45">
      <c r="A199">
        <v>120</v>
      </c>
      <c r="B199">
        <v>31.44</v>
      </c>
      <c r="C199">
        <v>5.88</v>
      </c>
      <c r="Q199">
        <v>117</v>
      </c>
      <c r="R199">
        <v>57.31</v>
      </c>
      <c r="T199">
        <f t="shared" si="13"/>
        <v>-0.20979381443308398</v>
      </c>
      <c r="AC199">
        <v>117</v>
      </c>
      <c r="AD199">
        <v>7.69</v>
      </c>
      <c r="AF199">
        <f t="shared" si="12"/>
        <v>-0.11717525773198201</v>
      </c>
    </row>
    <row r="200" spans="1:32" x14ac:dyDescent="0.45">
      <c r="A200">
        <v>121</v>
      </c>
      <c r="B200">
        <v>31.19</v>
      </c>
      <c r="C200">
        <v>5.88</v>
      </c>
      <c r="Q200">
        <v>118</v>
      </c>
      <c r="R200">
        <v>57.31</v>
      </c>
      <c r="T200">
        <f t="shared" si="13"/>
        <v>-0.20979381443308398</v>
      </c>
      <c r="AC200">
        <v>118</v>
      </c>
      <c r="AD200">
        <v>7.69</v>
      </c>
      <c r="AF200">
        <f t="shared" si="12"/>
        <v>-0.11717525773198201</v>
      </c>
    </row>
    <row r="201" spans="1:32" x14ac:dyDescent="0.45">
      <c r="A201">
        <v>122</v>
      </c>
      <c r="B201">
        <v>30.94</v>
      </c>
      <c r="C201">
        <v>5.88</v>
      </c>
      <c r="Q201">
        <v>119</v>
      </c>
      <c r="R201">
        <v>57.25</v>
      </c>
      <c r="T201">
        <f t="shared" si="13"/>
        <v>-0.26979381443308625</v>
      </c>
      <c r="AC201">
        <v>119</v>
      </c>
      <c r="AD201">
        <v>7.69</v>
      </c>
      <c r="AF201">
        <f t="shared" si="12"/>
        <v>-0.11717525773198201</v>
      </c>
    </row>
    <row r="202" spans="1:32" x14ac:dyDescent="0.45">
      <c r="A202">
        <v>123</v>
      </c>
      <c r="B202">
        <v>30.75</v>
      </c>
      <c r="C202">
        <v>5.88</v>
      </c>
      <c r="Q202">
        <v>120</v>
      </c>
      <c r="R202">
        <v>57.31</v>
      </c>
      <c r="T202">
        <f t="shared" si="13"/>
        <v>-0.20979381443308398</v>
      </c>
      <c r="AC202">
        <v>120</v>
      </c>
      <c r="AD202">
        <v>7.69</v>
      </c>
      <c r="AF202">
        <f t="shared" si="12"/>
        <v>-0.11717525773198201</v>
      </c>
    </row>
    <row r="203" spans="1:32" x14ac:dyDescent="0.45">
      <c r="A203">
        <v>124</v>
      </c>
      <c r="B203">
        <v>30.5</v>
      </c>
      <c r="C203">
        <v>5.81</v>
      </c>
      <c r="Q203">
        <v>121</v>
      </c>
      <c r="R203">
        <v>57.31</v>
      </c>
      <c r="T203">
        <f t="shared" si="13"/>
        <v>-0.20979381443308398</v>
      </c>
      <c r="AC203">
        <v>121</v>
      </c>
      <c r="AD203">
        <v>7.69</v>
      </c>
      <c r="AF203">
        <f t="shared" si="12"/>
        <v>-0.11717525773198201</v>
      </c>
    </row>
    <row r="204" spans="1:32" x14ac:dyDescent="0.45">
      <c r="A204">
        <v>125</v>
      </c>
      <c r="B204">
        <v>30.25</v>
      </c>
      <c r="C204">
        <v>5.88</v>
      </c>
      <c r="Q204">
        <v>122</v>
      </c>
      <c r="R204">
        <v>57.31</v>
      </c>
      <c r="T204">
        <f t="shared" si="13"/>
        <v>-0.20979381443308398</v>
      </c>
      <c r="AC204">
        <v>122</v>
      </c>
      <c r="AD204">
        <v>7.69</v>
      </c>
      <c r="AF204">
        <f t="shared" si="12"/>
        <v>-0.11717525773198201</v>
      </c>
    </row>
    <row r="205" spans="1:32" x14ac:dyDescent="0.45">
      <c r="A205">
        <v>126</v>
      </c>
      <c r="B205">
        <v>30.06</v>
      </c>
      <c r="C205">
        <v>5.88</v>
      </c>
      <c r="Q205">
        <v>123</v>
      </c>
      <c r="R205">
        <v>57.31</v>
      </c>
      <c r="T205">
        <f t="shared" si="13"/>
        <v>-0.20979381443308398</v>
      </c>
      <c r="AC205">
        <v>123</v>
      </c>
      <c r="AD205">
        <v>7.69</v>
      </c>
      <c r="AF205">
        <f t="shared" si="12"/>
        <v>-0.11717525773198201</v>
      </c>
    </row>
    <row r="206" spans="1:32" x14ac:dyDescent="0.45">
      <c r="A206">
        <v>127</v>
      </c>
      <c r="B206">
        <v>29.81</v>
      </c>
      <c r="C206">
        <v>5.88</v>
      </c>
      <c r="Q206">
        <v>124</v>
      </c>
      <c r="R206">
        <v>57.31</v>
      </c>
      <c r="T206">
        <f t="shared" si="13"/>
        <v>-0.20979381443308398</v>
      </c>
      <c r="AC206">
        <v>124</v>
      </c>
      <c r="AD206">
        <v>7.69</v>
      </c>
      <c r="AF206">
        <f t="shared" si="12"/>
        <v>-0.11717525773198201</v>
      </c>
    </row>
    <row r="207" spans="1:32" x14ac:dyDescent="0.45">
      <c r="A207">
        <v>128</v>
      </c>
      <c r="B207">
        <v>29.69</v>
      </c>
      <c r="C207">
        <v>5.94</v>
      </c>
      <c r="Q207">
        <v>125</v>
      </c>
      <c r="R207">
        <v>57.31</v>
      </c>
      <c r="T207">
        <f t="shared" si="13"/>
        <v>-0.20979381443308398</v>
      </c>
      <c r="AC207">
        <v>125</v>
      </c>
      <c r="AD207">
        <v>7.69</v>
      </c>
      <c r="AF207">
        <f t="shared" si="12"/>
        <v>-0.11717525773198201</v>
      </c>
    </row>
    <row r="208" spans="1:32" x14ac:dyDescent="0.45">
      <c r="A208">
        <v>129</v>
      </c>
      <c r="B208">
        <v>29.44</v>
      </c>
      <c r="C208">
        <v>6.31</v>
      </c>
      <c r="Q208">
        <v>126</v>
      </c>
      <c r="R208">
        <v>57.31</v>
      </c>
      <c r="T208">
        <f t="shared" si="13"/>
        <v>-0.20979381443308398</v>
      </c>
      <c r="AC208">
        <v>126</v>
      </c>
      <c r="AD208">
        <v>7.69</v>
      </c>
      <c r="AF208">
        <f t="shared" si="12"/>
        <v>-0.11717525773198201</v>
      </c>
    </row>
    <row r="209" spans="1:32" x14ac:dyDescent="0.45">
      <c r="A209">
        <v>130</v>
      </c>
      <c r="B209">
        <v>29.25</v>
      </c>
      <c r="C209">
        <v>6.69</v>
      </c>
      <c r="Q209">
        <v>127</v>
      </c>
      <c r="R209">
        <v>57.31</v>
      </c>
      <c r="T209">
        <f t="shared" si="13"/>
        <v>-0.20979381443308398</v>
      </c>
      <c r="AC209">
        <v>127</v>
      </c>
      <c r="AD209">
        <v>7.69</v>
      </c>
      <c r="AF209">
        <f t="shared" si="12"/>
        <v>-0.11717525773198201</v>
      </c>
    </row>
    <row r="210" spans="1:32" x14ac:dyDescent="0.45">
      <c r="A210">
        <v>131</v>
      </c>
      <c r="B210">
        <v>29.06</v>
      </c>
      <c r="C210">
        <v>7</v>
      </c>
      <c r="Q210">
        <v>128</v>
      </c>
      <c r="R210">
        <v>57.25</v>
      </c>
      <c r="T210">
        <f t="shared" si="13"/>
        <v>-0.26979381443308625</v>
      </c>
      <c r="AC210">
        <v>128</v>
      </c>
      <c r="AD210">
        <v>7.69</v>
      </c>
      <c r="AF210">
        <f t="shared" si="12"/>
        <v>-0.11717525773198201</v>
      </c>
    </row>
    <row r="211" spans="1:32" x14ac:dyDescent="0.45">
      <c r="A211">
        <v>132</v>
      </c>
      <c r="B211">
        <v>28.87</v>
      </c>
      <c r="C211">
        <v>7.31</v>
      </c>
      <c r="Q211">
        <v>129</v>
      </c>
      <c r="R211">
        <v>57.31</v>
      </c>
      <c r="T211">
        <f t="shared" si="13"/>
        <v>-0.20979381443308398</v>
      </c>
      <c r="AC211">
        <v>129</v>
      </c>
      <c r="AD211">
        <v>7.69</v>
      </c>
      <c r="AF211">
        <f t="shared" ref="AF211:AF274" si="14">(AD211-$AE$82)</f>
        <v>-0.11717525773198201</v>
      </c>
    </row>
    <row r="212" spans="1:32" x14ac:dyDescent="0.45">
      <c r="A212">
        <v>133</v>
      </c>
      <c r="B212">
        <v>28.75</v>
      </c>
      <c r="C212">
        <v>7.56</v>
      </c>
      <c r="Q212">
        <v>130</v>
      </c>
      <c r="R212">
        <v>57.38</v>
      </c>
      <c r="T212">
        <f t="shared" ref="T212:T275" si="15">(R212-$S$82)</f>
        <v>-0.1397938144330837</v>
      </c>
      <c r="AC212">
        <v>130</v>
      </c>
      <c r="AD212">
        <v>7.75</v>
      </c>
      <c r="AF212">
        <f t="shared" si="14"/>
        <v>-5.7175257731982398E-2</v>
      </c>
    </row>
    <row r="213" spans="1:32" x14ac:dyDescent="0.45">
      <c r="A213">
        <v>134</v>
      </c>
      <c r="B213">
        <v>28.56</v>
      </c>
      <c r="C213">
        <v>7.88</v>
      </c>
      <c r="Q213">
        <v>131</v>
      </c>
      <c r="R213">
        <v>57.38</v>
      </c>
      <c r="T213">
        <f t="shared" si="15"/>
        <v>-0.1397938144330837</v>
      </c>
      <c r="AC213">
        <v>131</v>
      </c>
      <c r="AD213">
        <v>7.69</v>
      </c>
      <c r="AF213">
        <f t="shared" si="14"/>
        <v>-0.11717525773198201</v>
      </c>
    </row>
    <row r="214" spans="1:32" x14ac:dyDescent="0.45">
      <c r="A214">
        <v>135</v>
      </c>
      <c r="B214">
        <v>28.37</v>
      </c>
      <c r="C214">
        <v>8.1300000000000008</v>
      </c>
      <c r="Q214">
        <v>132</v>
      </c>
      <c r="R214">
        <v>57.44</v>
      </c>
      <c r="T214">
        <f t="shared" si="15"/>
        <v>-7.9793814433088528E-2</v>
      </c>
      <c r="AC214">
        <v>132</v>
      </c>
      <c r="AD214">
        <v>7.75</v>
      </c>
      <c r="AF214">
        <f t="shared" si="14"/>
        <v>-5.7175257731982398E-2</v>
      </c>
    </row>
    <row r="215" spans="1:32" x14ac:dyDescent="0.45">
      <c r="A215">
        <v>136</v>
      </c>
      <c r="B215">
        <v>28.25</v>
      </c>
      <c r="C215">
        <v>8.3800000000000008</v>
      </c>
      <c r="Q215">
        <v>133</v>
      </c>
      <c r="R215">
        <v>57.44</v>
      </c>
      <c r="T215">
        <f t="shared" si="15"/>
        <v>-7.9793814433088528E-2</v>
      </c>
      <c r="AC215">
        <v>133</v>
      </c>
      <c r="AD215">
        <v>7.75</v>
      </c>
      <c r="AF215">
        <f t="shared" si="14"/>
        <v>-5.7175257731982398E-2</v>
      </c>
    </row>
    <row r="216" spans="1:32" x14ac:dyDescent="0.45">
      <c r="A216">
        <v>137</v>
      </c>
      <c r="B216">
        <v>28.06</v>
      </c>
      <c r="C216">
        <v>8.6300000000000008</v>
      </c>
      <c r="Q216">
        <v>134</v>
      </c>
      <c r="R216">
        <v>57.44</v>
      </c>
      <c r="T216">
        <f t="shared" si="15"/>
        <v>-7.9793814433088528E-2</v>
      </c>
      <c r="AC216">
        <v>134</v>
      </c>
      <c r="AD216">
        <v>7.75</v>
      </c>
      <c r="AF216">
        <f t="shared" si="14"/>
        <v>-5.7175257731982398E-2</v>
      </c>
    </row>
    <row r="217" spans="1:32" x14ac:dyDescent="0.45">
      <c r="A217">
        <v>138</v>
      </c>
      <c r="B217">
        <v>27.94</v>
      </c>
      <c r="C217">
        <v>8.94</v>
      </c>
      <c r="Q217">
        <v>135</v>
      </c>
      <c r="R217">
        <v>57.44</v>
      </c>
      <c r="T217">
        <f t="shared" si="15"/>
        <v>-7.9793814433088528E-2</v>
      </c>
      <c r="AC217">
        <v>135</v>
      </c>
      <c r="AD217">
        <v>7.81</v>
      </c>
      <c r="AF217">
        <f t="shared" si="14"/>
        <v>2.8247422680172107E-3</v>
      </c>
    </row>
    <row r="218" spans="1:32" x14ac:dyDescent="0.45">
      <c r="A218">
        <v>139</v>
      </c>
      <c r="B218">
        <v>27.75</v>
      </c>
      <c r="C218">
        <v>9.1300000000000008</v>
      </c>
      <c r="Q218">
        <v>136</v>
      </c>
      <c r="R218">
        <v>57.5</v>
      </c>
      <c r="T218">
        <f t="shared" si="15"/>
        <v>-1.9793814433086254E-2</v>
      </c>
      <c r="AC218">
        <v>136</v>
      </c>
      <c r="AD218">
        <v>7.75</v>
      </c>
      <c r="AF218">
        <f t="shared" si="14"/>
        <v>-5.7175257731982398E-2</v>
      </c>
    </row>
    <row r="219" spans="1:32" x14ac:dyDescent="0.45">
      <c r="A219">
        <v>140</v>
      </c>
      <c r="B219">
        <v>27.62</v>
      </c>
      <c r="C219">
        <v>9.31</v>
      </c>
      <c r="Q219">
        <v>137</v>
      </c>
      <c r="R219">
        <v>57.5</v>
      </c>
      <c r="T219">
        <f t="shared" si="15"/>
        <v>-1.9793814433086254E-2</v>
      </c>
      <c r="AC219">
        <v>137</v>
      </c>
      <c r="AD219">
        <v>7.81</v>
      </c>
      <c r="AF219">
        <f t="shared" si="14"/>
        <v>2.8247422680172107E-3</v>
      </c>
    </row>
    <row r="220" spans="1:32" x14ac:dyDescent="0.45">
      <c r="A220">
        <v>141</v>
      </c>
      <c r="B220">
        <v>27.5</v>
      </c>
      <c r="C220">
        <v>9.81</v>
      </c>
      <c r="Q220">
        <v>138</v>
      </c>
      <c r="R220">
        <v>57.5</v>
      </c>
      <c r="T220">
        <f t="shared" si="15"/>
        <v>-1.9793814433086254E-2</v>
      </c>
      <c r="AC220">
        <v>138</v>
      </c>
      <c r="AD220">
        <v>7.75</v>
      </c>
      <c r="AF220">
        <f t="shared" si="14"/>
        <v>-5.7175257731982398E-2</v>
      </c>
    </row>
    <row r="221" spans="1:32" x14ac:dyDescent="0.45">
      <c r="A221">
        <v>142</v>
      </c>
      <c r="B221">
        <v>27.37</v>
      </c>
      <c r="C221">
        <v>10.63</v>
      </c>
      <c r="Q221">
        <v>139</v>
      </c>
      <c r="R221">
        <v>57.5</v>
      </c>
      <c r="T221">
        <f t="shared" si="15"/>
        <v>-1.9793814433086254E-2</v>
      </c>
      <c r="AC221">
        <v>139</v>
      </c>
      <c r="AD221">
        <v>7.75</v>
      </c>
      <c r="AF221">
        <f t="shared" si="14"/>
        <v>-5.7175257731982398E-2</v>
      </c>
    </row>
    <row r="222" spans="1:32" x14ac:dyDescent="0.45">
      <c r="A222">
        <v>143</v>
      </c>
      <c r="B222">
        <v>27.31</v>
      </c>
      <c r="C222">
        <v>11</v>
      </c>
      <c r="Q222">
        <v>140</v>
      </c>
      <c r="R222">
        <v>57.5</v>
      </c>
      <c r="T222">
        <f t="shared" si="15"/>
        <v>-1.9793814433086254E-2</v>
      </c>
      <c r="AC222">
        <v>140</v>
      </c>
      <c r="AD222">
        <v>7.75</v>
      </c>
      <c r="AF222">
        <f t="shared" si="14"/>
        <v>-5.7175257731982398E-2</v>
      </c>
    </row>
    <row r="223" spans="1:32" x14ac:dyDescent="0.45">
      <c r="A223">
        <v>144</v>
      </c>
      <c r="B223">
        <v>27.19</v>
      </c>
      <c r="C223">
        <v>11.19</v>
      </c>
      <c r="Q223">
        <v>141</v>
      </c>
      <c r="R223">
        <v>57.5</v>
      </c>
      <c r="T223">
        <f t="shared" si="15"/>
        <v>-1.9793814433086254E-2</v>
      </c>
      <c r="AC223">
        <v>141</v>
      </c>
      <c r="AD223">
        <v>7.81</v>
      </c>
      <c r="AF223">
        <f t="shared" si="14"/>
        <v>2.8247422680172107E-3</v>
      </c>
    </row>
    <row r="224" spans="1:32" x14ac:dyDescent="0.45">
      <c r="A224">
        <v>145</v>
      </c>
      <c r="B224">
        <v>27.06</v>
      </c>
      <c r="C224">
        <v>11.44</v>
      </c>
      <c r="Q224">
        <v>142</v>
      </c>
      <c r="R224">
        <v>57.56</v>
      </c>
      <c r="T224">
        <f t="shared" si="15"/>
        <v>4.020618556691602E-2</v>
      </c>
      <c r="AC224">
        <v>142</v>
      </c>
      <c r="AD224">
        <v>7.81</v>
      </c>
      <c r="AF224">
        <f t="shared" si="14"/>
        <v>2.8247422680172107E-3</v>
      </c>
    </row>
    <row r="225" spans="1:32" x14ac:dyDescent="0.45">
      <c r="A225">
        <v>146</v>
      </c>
      <c r="B225">
        <v>26.94</v>
      </c>
      <c r="C225">
        <v>11.63</v>
      </c>
      <c r="Q225">
        <v>143</v>
      </c>
      <c r="R225">
        <v>57.56</v>
      </c>
      <c r="T225">
        <f t="shared" si="15"/>
        <v>4.020618556691602E-2</v>
      </c>
      <c r="AC225">
        <v>143</v>
      </c>
      <c r="AD225">
        <v>7.81</v>
      </c>
      <c r="AF225">
        <f t="shared" si="14"/>
        <v>2.8247422680172107E-3</v>
      </c>
    </row>
    <row r="226" spans="1:32" x14ac:dyDescent="0.45">
      <c r="A226">
        <v>147</v>
      </c>
      <c r="B226">
        <v>26.81</v>
      </c>
      <c r="C226">
        <v>11.81</v>
      </c>
      <c r="Q226">
        <v>144</v>
      </c>
      <c r="R226">
        <v>57.56</v>
      </c>
      <c r="T226">
        <f t="shared" si="15"/>
        <v>4.020618556691602E-2</v>
      </c>
      <c r="AC226">
        <v>144</v>
      </c>
      <c r="AD226">
        <v>7.88</v>
      </c>
      <c r="AF226">
        <f t="shared" si="14"/>
        <v>7.2824742268017495E-2</v>
      </c>
    </row>
    <row r="227" spans="1:32" x14ac:dyDescent="0.45">
      <c r="A227">
        <v>148</v>
      </c>
      <c r="B227">
        <v>26.75</v>
      </c>
      <c r="C227">
        <v>12</v>
      </c>
      <c r="Q227">
        <v>145</v>
      </c>
      <c r="R227">
        <v>57.56</v>
      </c>
      <c r="T227">
        <f t="shared" si="15"/>
        <v>4.020618556691602E-2</v>
      </c>
      <c r="AC227">
        <v>145</v>
      </c>
      <c r="AD227">
        <v>7.88</v>
      </c>
      <c r="AF227">
        <f t="shared" si="14"/>
        <v>7.2824742268017495E-2</v>
      </c>
    </row>
    <row r="228" spans="1:32" x14ac:dyDescent="0.45">
      <c r="A228">
        <v>149</v>
      </c>
      <c r="B228">
        <v>26.62</v>
      </c>
      <c r="C228">
        <v>12.13</v>
      </c>
      <c r="Q228">
        <v>146</v>
      </c>
      <c r="R228">
        <v>57.56</v>
      </c>
      <c r="T228">
        <f t="shared" si="15"/>
        <v>4.020618556691602E-2</v>
      </c>
      <c r="AC228">
        <v>146</v>
      </c>
      <c r="AD228">
        <v>7.88</v>
      </c>
      <c r="AF228">
        <f t="shared" si="14"/>
        <v>7.2824742268017495E-2</v>
      </c>
    </row>
    <row r="229" spans="1:32" x14ac:dyDescent="0.45">
      <c r="A229">
        <v>150</v>
      </c>
      <c r="B229">
        <v>26.5</v>
      </c>
      <c r="C229">
        <v>12.31</v>
      </c>
      <c r="Q229">
        <v>147</v>
      </c>
      <c r="R229">
        <v>57.56</v>
      </c>
      <c r="T229">
        <f t="shared" si="15"/>
        <v>4.020618556691602E-2</v>
      </c>
      <c r="AC229">
        <v>147</v>
      </c>
      <c r="AD229">
        <v>7.88</v>
      </c>
      <c r="AF229">
        <f t="shared" si="14"/>
        <v>7.2824742268017495E-2</v>
      </c>
    </row>
    <row r="230" spans="1:32" x14ac:dyDescent="0.45">
      <c r="A230">
        <v>151</v>
      </c>
      <c r="B230">
        <v>26.44</v>
      </c>
      <c r="C230">
        <v>12.5</v>
      </c>
      <c r="Q230">
        <v>148</v>
      </c>
      <c r="R230">
        <v>57.56</v>
      </c>
      <c r="T230">
        <f t="shared" si="15"/>
        <v>4.020618556691602E-2</v>
      </c>
      <c r="AC230">
        <v>148</v>
      </c>
      <c r="AD230">
        <v>7.88</v>
      </c>
      <c r="AF230">
        <f t="shared" si="14"/>
        <v>7.2824742268017495E-2</v>
      </c>
    </row>
    <row r="231" spans="1:32" x14ac:dyDescent="0.45">
      <c r="A231">
        <v>152</v>
      </c>
      <c r="B231">
        <v>26.31</v>
      </c>
      <c r="C231">
        <v>12.63</v>
      </c>
      <c r="Q231">
        <v>149</v>
      </c>
      <c r="R231">
        <v>57.63</v>
      </c>
      <c r="T231">
        <f t="shared" si="15"/>
        <v>0.1102061855669163</v>
      </c>
      <c r="AC231">
        <v>149</v>
      </c>
      <c r="AD231">
        <v>7.88</v>
      </c>
      <c r="AF231">
        <f t="shared" si="14"/>
        <v>7.2824742268017495E-2</v>
      </c>
    </row>
    <row r="232" spans="1:32" x14ac:dyDescent="0.45">
      <c r="A232">
        <v>153</v>
      </c>
      <c r="B232">
        <v>26.19</v>
      </c>
      <c r="C232">
        <v>12.81</v>
      </c>
      <c r="Q232">
        <v>150</v>
      </c>
      <c r="R232">
        <v>57.63</v>
      </c>
      <c r="T232">
        <f t="shared" si="15"/>
        <v>0.1102061855669163</v>
      </c>
      <c r="AC232">
        <v>150</v>
      </c>
      <c r="AD232">
        <v>7.88</v>
      </c>
      <c r="AF232">
        <f t="shared" si="14"/>
        <v>7.2824742268017495E-2</v>
      </c>
    </row>
    <row r="233" spans="1:32" x14ac:dyDescent="0.45">
      <c r="A233">
        <v>154</v>
      </c>
      <c r="B233">
        <v>26.12</v>
      </c>
      <c r="C233">
        <v>12.94</v>
      </c>
      <c r="Q233">
        <v>151</v>
      </c>
      <c r="R233">
        <v>57.56</v>
      </c>
      <c r="T233">
        <f t="shared" si="15"/>
        <v>4.020618556691602E-2</v>
      </c>
      <c r="AC233">
        <v>151</v>
      </c>
      <c r="AD233">
        <v>7.88</v>
      </c>
      <c r="AF233">
        <f t="shared" si="14"/>
        <v>7.2824742268017495E-2</v>
      </c>
    </row>
    <row r="234" spans="1:32" x14ac:dyDescent="0.45">
      <c r="A234">
        <v>155</v>
      </c>
      <c r="B234">
        <v>26</v>
      </c>
      <c r="C234">
        <v>13.13</v>
      </c>
      <c r="Q234">
        <v>152</v>
      </c>
      <c r="R234">
        <v>57.56</v>
      </c>
      <c r="T234">
        <f t="shared" si="15"/>
        <v>4.020618556691602E-2</v>
      </c>
      <c r="AC234">
        <v>152</v>
      </c>
      <c r="AD234">
        <v>7.88</v>
      </c>
      <c r="AF234">
        <f t="shared" si="14"/>
        <v>7.2824742268017495E-2</v>
      </c>
    </row>
    <row r="235" spans="1:32" x14ac:dyDescent="0.45">
      <c r="A235">
        <v>156</v>
      </c>
      <c r="B235">
        <v>25.94</v>
      </c>
      <c r="C235">
        <v>13.25</v>
      </c>
      <c r="Q235">
        <v>153</v>
      </c>
      <c r="R235">
        <v>57.56</v>
      </c>
      <c r="T235">
        <f t="shared" si="15"/>
        <v>4.020618556691602E-2</v>
      </c>
      <c r="AC235">
        <v>153</v>
      </c>
      <c r="AD235">
        <v>7.88</v>
      </c>
      <c r="AF235">
        <f t="shared" si="14"/>
        <v>7.2824742268017495E-2</v>
      </c>
    </row>
    <row r="236" spans="1:32" x14ac:dyDescent="0.45">
      <c r="A236">
        <v>157</v>
      </c>
      <c r="B236">
        <v>25.81</v>
      </c>
      <c r="C236">
        <v>13.38</v>
      </c>
      <c r="Q236">
        <v>154</v>
      </c>
      <c r="R236">
        <v>57.63</v>
      </c>
      <c r="T236">
        <f t="shared" si="15"/>
        <v>0.1102061855669163</v>
      </c>
      <c r="AC236">
        <v>154</v>
      </c>
      <c r="AD236">
        <v>7.88</v>
      </c>
      <c r="AF236">
        <f t="shared" si="14"/>
        <v>7.2824742268017495E-2</v>
      </c>
    </row>
    <row r="237" spans="1:32" x14ac:dyDescent="0.45">
      <c r="A237">
        <v>158</v>
      </c>
      <c r="B237">
        <v>25.75</v>
      </c>
      <c r="C237">
        <v>13.5</v>
      </c>
      <c r="Q237">
        <v>155</v>
      </c>
      <c r="R237">
        <v>57.63</v>
      </c>
      <c r="T237">
        <f t="shared" si="15"/>
        <v>0.1102061855669163</v>
      </c>
      <c r="AC237">
        <v>155</v>
      </c>
      <c r="AD237">
        <v>7.88</v>
      </c>
      <c r="AF237">
        <f t="shared" si="14"/>
        <v>7.2824742268017495E-2</v>
      </c>
    </row>
    <row r="238" spans="1:32" x14ac:dyDescent="0.45">
      <c r="A238">
        <v>159</v>
      </c>
      <c r="B238">
        <v>25.62</v>
      </c>
      <c r="C238">
        <v>13.63</v>
      </c>
      <c r="Q238">
        <v>156</v>
      </c>
      <c r="R238">
        <v>57.63</v>
      </c>
      <c r="T238">
        <f t="shared" si="15"/>
        <v>0.1102061855669163</v>
      </c>
      <c r="AC238">
        <v>156</v>
      </c>
      <c r="AD238">
        <v>7.88</v>
      </c>
      <c r="AF238">
        <f t="shared" si="14"/>
        <v>7.2824742268017495E-2</v>
      </c>
    </row>
    <row r="239" spans="1:32" x14ac:dyDescent="0.45">
      <c r="A239">
        <v>160</v>
      </c>
      <c r="B239">
        <v>25.56</v>
      </c>
      <c r="C239">
        <v>13.75</v>
      </c>
      <c r="Q239">
        <v>157</v>
      </c>
      <c r="R239">
        <v>57.63</v>
      </c>
      <c r="T239">
        <f t="shared" si="15"/>
        <v>0.1102061855669163</v>
      </c>
      <c r="AC239">
        <v>157</v>
      </c>
      <c r="AD239">
        <v>7.88</v>
      </c>
      <c r="AF239">
        <f t="shared" si="14"/>
        <v>7.2824742268017495E-2</v>
      </c>
    </row>
    <row r="240" spans="1:32" x14ac:dyDescent="0.45">
      <c r="A240">
        <v>161</v>
      </c>
      <c r="B240">
        <v>25.5</v>
      </c>
      <c r="C240">
        <v>13.88</v>
      </c>
      <c r="Q240">
        <v>158</v>
      </c>
      <c r="R240">
        <v>57.56</v>
      </c>
      <c r="T240">
        <f t="shared" si="15"/>
        <v>4.020618556691602E-2</v>
      </c>
      <c r="AC240">
        <v>158</v>
      </c>
      <c r="AD240">
        <v>7.88</v>
      </c>
      <c r="AF240">
        <f t="shared" si="14"/>
        <v>7.2824742268017495E-2</v>
      </c>
    </row>
    <row r="241" spans="1:32" x14ac:dyDescent="0.45">
      <c r="A241">
        <v>162</v>
      </c>
      <c r="B241">
        <v>25.44</v>
      </c>
      <c r="C241">
        <v>14.06</v>
      </c>
      <c r="Q241">
        <v>159</v>
      </c>
      <c r="R241">
        <v>57.56</v>
      </c>
      <c r="T241">
        <f t="shared" si="15"/>
        <v>4.020618556691602E-2</v>
      </c>
      <c r="AC241">
        <v>159</v>
      </c>
      <c r="AD241">
        <v>7.88</v>
      </c>
      <c r="AF241">
        <f t="shared" si="14"/>
        <v>7.2824742268017495E-2</v>
      </c>
    </row>
    <row r="242" spans="1:32" x14ac:dyDescent="0.45">
      <c r="A242">
        <v>163</v>
      </c>
      <c r="B242">
        <v>25.31</v>
      </c>
      <c r="C242">
        <v>14.19</v>
      </c>
      <c r="Q242">
        <v>160</v>
      </c>
      <c r="R242">
        <v>57.5</v>
      </c>
      <c r="T242">
        <f t="shared" si="15"/>
        <v>-1.9793814433086254E-2</v>
      </c>
      <c r="AC242">
        <v>160</v>
      </c>
      <c r="AD242">
        <v>7.94</v>
      </c>
      <c r="AF242">
        <f t="shared" si="14"/>
        <v>0.13282474226801799</v>
      </c>
    </row>
    <row r="243" spans="1:32" x14ac:dyDescent="0.45">
      <c r="A243">
        <v>164</v>
      </c>
      <c r="B243">
        <v>25.25</v>
      </c>
      <c r="C243">
        <v>14.31</v>
      </c>
      <c r="Q243">
        <v>161</v>
      </c>
      <c r="R243">
        <v>57.5</v>
      </c>
      <c r="T243">
        <f t="shared" si="15"/>
        <v>-1.9793814433086254E-2</v>
      </c>
      <c r="AC243">
        <v>161</v>
      </c>
      <c r="AD243">
        <v>7.88</v>
      </c>
      <c r="AF243">
        <f t="shared" si="14"/>
        <v>7.2824742268017495E-2</v>
      </c>
    </row>
    <row r="244" spans="1:32" x14ac:dyDescent="0.45">
      <c r="A244">
        <v>165</v>
      </c>
      <c r="B244">
        <v>25.19</v>
      </c>
      <c r="C244">
        <v>14.44</v>
      </c>
      <c r="Q244">
        <v>162</v>
      </c>
      <c r="R244">
        <v>57.56</v>
      </c>
      <c r="T244">
        <f t="shared" si="15"/>
        <v>4.020618556691602E-2</v>
      </c>
      <c r="AC244">
        <v>162</v>
      </c>
      <c r="AD244">
        <v>7.88</v>
      </c>
      <c r="AF244">
        <f t="shared" si="14"/>
        <v>7.2824742268017495E-2</v>
      </c>
    </row>
    <row r="245" spans="1:32" x14ac:dyDescent="0.45">
      <c r="A245">
        <v>166</v>
      </c>
      <c r="B245">
        <v>25.06</v>
      </c>
      <c r="C245">
        <v>14.56</v>
      </c>
      <c r="Q245">
        <v>163</v>
      </c>
      <c r="R245">
        <v>57.63</v>
      </c>
      <c r="T245">
        <f t="shared" si="15"/>
        <v>0.1102061855669163</v>
      </c>
      <c r="AC245">
        <v>163</v>
      </c>
      <c r="AD245">
        <v>7.88</v>
      </c>
      <c r="AF245">
        <f t="shared" si="14"/>
        <v>7.2824742268017495E-2</v>
      </c>
    </row>
    <row r="246" spans="1:32" x14ac:dyDescent="0.45">
      <c r="A246">
        <v>167</v>
      </c>
      <c r="B246">
        <v>25</v>
      </c>
      <c r="C246">
        <v>14.69</v>
      </c>
      <c r="Q246">
        <v>164</v>
      </c>
      <c r="R246">
        <v>57.63</v>
      </c>
      <c r="T246">
        <f t="shared" si="15"/>
        <v>0.1102061855669163</v>
      </c>
      <c r="AC246">
        <v>164</v>
      </c>
      <c r="AD246">
        <v>7.88</v>
      </c>
      <c r="AF246">
        <f t="shared" si="14"/>
        <v>7.2824742268017495E-2</v>
      </c>
    </row>
    <row r="247" spans="1:32" x14ac:dyDescent="0.45">
      <c r="A247">
        <v>168</v>
      </c>
      <c r="B247">
        <v>24.87</v>
      </c>
      <c r="C247">
        <v>14.81</v>
      </c>
      <c r="Q247">
        <v>165</v>
      </c>
      <c r="R247">
        <v>57.63</v>
      </c>
      <c r="T247">
        <f t="shared" si="15"/>
        <v>0.1102061855669163</v>
      </c>
      <c r="AC247">
        <v>165</v>
      </c>
      <c r="AD247">
        <v>7.88</v>
      </c>
      <c r="AF247">
        <f t="shared" si="14"/>
        <v>7.2824742268017495E-2</v>
      </c>
    </row>
    <row r="248" spans="1:32" x14ac:dyDescent="0.45">
      <c r="A248">
        <v>169</v>
      </c>
      <c r="B248">
        <v>24.81</v>
      </c>
      <c r="C248">
        <v>14.88</v>
      </c>
      <c r="Q248">
        <v>166</v>
      </c>
      <c r="R248">
        <v>57.63</v>
      </c>
      <c r="T248">
        <f t="shared" si="15"/>
        <v>0.1102061855669163</v>
      </c>
      <c r="AC248">
        <v>166</v>
      </c>
      <c r="AD248">
        <v>7.88</v>
      </c>
      <c r="AF248">
        <f t="shared" si="14"/>
        <v>7.2824742268017495E-2</v>
      </c>
    </row>
    <row r="249" spans="1:32" x14ac:dyDescent="0.45">
      <c r="A249">
        <v>170</v>
      </c>
      <c r="B249">
        <v>24.69</v>
      </c>
      <c r="C249">
        <v>15</v>
      </c>
      <c r="Q249">
        <v>167</v>
      </c>
      <c r="R249">
        <v>57.63</v>
      </c>
      <c r="T249">
        <f t="shared" si="15"/>
        <v>0.1102061855669163</v>
      </c>
      <c r="AC249">
        <v>167</v>
      </c>
      <c r="AD249">
        <v>7.88</v>
      </c>
      <c r="AF249">
        <f t="shared" si="14"/>
        <v>7.2824742268017495E-2</v>
      </c>
    </row>
    <row r="250" spans="1:32" x14ac:dyDescent="0.45">
      <c r="A250">
        <v>171</v>
      </c>
      <c r="B250">
        <v>24.56</v>
      </c>
      <c r="C250">
        <v>15.06</v>
      </c>
      <c r="Q250">
        <v>168</v>
      </c>
      <c r="R250">
        <v>57.69</v>
      </c>
      <c r="T250">
        <f t="shared" si="15"/>
        <v>0.17020618556691147</v>
      </c>
      <c r="AC250">
        <v>168</v>
      </c>
      <c r="AD250">
        <v>7.88</v>
      </c>
      <c r="AF250">
        <f t="shared" si="14"/>
        <v>7.2824742268017495E-2</v>
      </c>
    </row>
    <row r="251" spans="1:32" x14ac:dyDescent="0.45">
      <c r="A251">
        <v>172</v>
      </c>
      <c r="B251">
        <v>24.5</v>
      </c>
      <c r="C251">
        <v>15.19</v>
      </c>
      <c r="Q251">
        <v>169</v>
      </c>
      <c r="R251">
        <v>57.69</v>
      </c>
      <c r="T251">
        <f t="shared" si="15"/>
        <v>0.17020618556691147</v>
      </c>
      <c r="AC251">
        <v>169</v>
      </c>
      <c r="AD251">
        <v>7.88</v>
      </c>
      <c r="AF251">
        <f t="shared" si="14"/>
        <v>7.2824742268017495E-2</v>
      </c>
    </row>
    <row r="252" spans="1:32" x14ac:dyDescent="0.45">
      <c r="A252">
        <v>173</v>
      </c>
      <c r="B252">
        <v>24.44</v>
      </c>
      <c r="C252">
        <v>15.31</v>
      </c>
      <c r="Q252">
        <v>170</v>
      </c>
      <c r="R252">
        <v>57.69</v>
      </c>
      <c r="T252">
        <f t="shared" si="15"/>
        <v>0.17020618556691147</v>
      </c>
      <c r="AC252">
        <v>170</v>
      </c>
      <c r="AD252">
        <v>7.88</v>
      </c>
      <c r="AF252">
        <f t="shared" si="14"/>
        <v>7.2824742268017495E-2</v>
      </c>
    </row>
    <row r="253" spans="1:32" x14ac:dyDescent="0.45">
      <c r="A253">
        <v>174</v>
      </c>
      <c r="B253">
        <v>24.31</v>
      </c>
      <c r="C253">
        <v>15.38</v>
      </c>
      <c r="Q253">
        <v>171</v>
      </c>
      <c r="R253">
        <v>57.69</v>
      </c>
      <c r="T253">
        <f t="shared" si="15"/>
        <v>0.17020618556691147</v>
      </c>
      <c r="AC253">
        <v>171</v>
      </c>
      <c r="AD253">
        <v>7.88</v>
      </c>
      <c r="AF253">
        <f t="shared" si="14"/>
        <v>7.2824742268017495E-2</v>
      </c>
    </row>
    <row r="254" spans="1:32" x14ac:dyDescent="0.45">
      <c r="A254">
        <v>175</v>
      </c>
      <c r="B254">
        <v>24.25</v>
      </c>
      <c r="C254">
        <v>15.44</v>
      </c>
      <c r="Q254">
        <v>172</v>
      </c>
      <c r="R254">
        <v>57.69</v>
      </c>
      <c r="T254">
        <f t="shared" si="15"/>
        <v>0.17020618556691147</v>
      </c>
      <c r="AC254">
        <v>172</v>
      </c>
      <c r="AD254">
        <v>7.88</v>
      </c>
      <c r="AF254">
        <f t="shared" si="14"/>
        <v>7.2824742268017495E-2</v>
      </c>
    </row>
    <row r="255" spans="1:32" x14ac:dyDescent="0.45">
      <c r="A255">
        <v>176</v>
      </c>
      <c r="B255">
        <v>24.19</v>
      </c>
      <c r="C255">
        <v>15.5</v>
      </c>
      <c r="Q255">
        <v>173</v>
      </c>
      <c r="R255">
        <v>57.69</v>
      </c>
      <c r="T255">
        <f t="shared" si="15"/>
        <v>0.17020618556691147</v>
      </c>
      <c r="AC255">
        <v>173</v>
      </c>
      <c r="AD255">
        <v>7.94</v>
      </c>
      <c r="AF255">
        <f t="shared" si="14"/>
        <v>0.13282474226801799</v>
      </c>
    </row>
    <row r="256" spans="1:32" x14ac:dyDescent="0.45">
      <c r="A256">
        <v>177</v>
      </c>
      <c r="B256">
        <v>24.12</v>
      </c>
      <c r="C256">
        <v>15.63</v>
      </c>
      <c r="Q256">
        <v>174</v>
      </c>
      <c r="R256">
        <v>57.63</v>
      </c>
      <c r="T256">
        <f t="shared" si="15"/>
        <v>0.1102061855669163</v>
      </c>
      <c r="AC256">
        <v>174</v>
      </c>
      <c r="AD256">
        <v>7.94</v>
      </c>
      <c r="AF256">
        <f t="shared" si="14"/>
        <v>0.13282474226801799</v>
      </c>
    </row>
    <row r="257" spans="1:32" x14ac:dyDescent="0.45">
      <c r="A257">
        <v>178</v>
      </c>
      <c r="B257">
        <v>24.06</v>
      </c>
      <c r="C257">
        <v>15.69</v>
      </c>
      <c r="Q257">
        <v>175</v>
      </c>
      <c r="R257">
        <v>57.69</v>
      </c>
      <c r="T257">
        <f t="shared" si="15"/>
        <v>0.17020618556691147</v>
      </c>
      <c r="AC257">
        <v>175</v>
      </c>
      <c r="AD257">
        <v>7.94</v>
      </c>
      <c r="AF257">
        <f t="shared" si="14"/>
        <v>0.13282474226801799</v>
      </c>
    </row>
    <row r="258" spans="1:32" x14ac:dyDescent="0.45">
      <c r="A258">
        <v>179</v>
      </c>
      <c r="B258">
        <v>24</v>
      </c>
      <c r="C258">
        <v>15.81</v>
      </c>
      <c r="Q258">
        <v>176</v>
      </c>
      <c r="R258">
        <v>57.69</v>
      </c>
      <c r="T258">
        <f t="shared" si="15"/>
        <v>0.17020618556691147</v>
      </c>
      <c r="AC258">
        <v>176</v>
      </c>
      <c r="AD258">
        <v>7.94</v>
      </c>
      <c r="AF258">
        <f t="shared" si="14"/>
        <v>0.13282474226801799</v>
      </c>
    </row>
    <row r="259" spans="1:32" x14ac:dyDescent="0.45">
      <c r="A259">
        <v>180</v>
      </c>
      <c r="B259">
        <v>23.94</v>
      </c>
      <c r="C259">
        <v>15.88</v>
      </c>
      <c r="Q259">
        <v>177</v>
      </c>
      <c r="R259">
        <v>57.63</v>
      </c>
      <c r="T259">
        <f t="shared" si="15"/>
        <v>0.1102061855669163</v>
      </c>
      <c r="AC259">
        <v>177</v>
      </c>
      <c r="AD259">
        <v>7.94</v>
      </c>
      <c r="AF259">
        <f t="shared" si="14"/>
        <v>0.13282474226801799</v>
      </c>
    </row>
    <row r="260" spans="1:32" x14ac:dyDescent="0.45">
      <c r="A260">
        <v>181</v>
      </c>
      <c r="B260">
        <v>23.87</v>
      </c>
      <c r="C260">
        <v>15.94</v>
      </c>
      <c r="Q260">
        <v>178</v>
      </c>
      <c r="R260">
        <v>57.63</v>
      </c>
      <c r="T260">
        <f t="shared" si="15"/>
        <v>0.1102061855669163</v>
      </c>
      <c r="AC260">
        <v>178</v>
      </c>
      <c r="AD260">
        <v>7.94</v>
      </c>
      <c r="AF260">
        <f t="shared" si="14"/>
        <v>0.13282474226801799</v>
      </c>
    </row>
    <row r="261" spans="1:32" x14ac:dyDescent="0.45">
      <c r="A261">
        <v>182</v>
      </c>
      <c r="B261">
        <v>23.81</v>
      </c>
      <c r="C261">
        <v>16</v>
      </c>
      <c r="Q261">
        <v>179</v>
      </c>
      <c r="R261">
        <v>57.63</v>
      </c>
      <c r="T261">
        <f t="shared" si="15"/>
        <v>0.1102061855669163</v>
      </c>
      <c r="AC261">
        <v>179</v>
      </c>
      <c r="AD261">
        <v>7.94</v>
      </c>
      <c r="AF261">
        <f t="shared" si="14"/>
        <v>0.13282474226801799</v>
      </c>
    </row>
    <row r="262" spans="1:32" x14ac:dyDescent="0.45">
      <c r="A262">
        <v>183</v>
      </c>
      <c r="B262">
        <v>23.75</v>
      </c>
      <c r="C262">
        <v>16.059999999999999</v>
      </c>
      <c r="Q262">
        <v>180</v>
      </c>
      <c r="R262">
        <v>57.63</v>
      </c>
      <c r="T262">
        <f t="shared" si="15"/>
        <v>0.1102061855669163</v>
      </c>
      <c r="AC262">
        <v>180</v>
      </c>
      <c r="AD262">
        <v>7.94</v>
      </c>
      <c r="AF262">
        <f t="shared" si="14"/>
        <v>0.13282474226801799</v>
      </c>
    </row>
    <row r="263" spans="1:32" x14ac:dyDescent="0.45">
      <c r="A263">
        <v>184</v>
      </c>
      <c r="B263">
        <v>23.69</v>
      </c>
      <c r="C263">
        <v>16.12</v>
      </c>
      <c r="Q263">
        <v>181</v>
      </c>
      <c r="R263">
        <v>57.63</v>
      </c>
      <c r="T263">
        <f t="shared" si="15"/>
        <v>0.1102061855669163</v>
      </c>
      <c r="AC263">
        <v>181</v>
      </c>
      <c r="AD263">
        <v>7.94</v>
      </c>
      <c r="AF263">
        <f t="shared" si="14"/>
        <v>0.13282474226801799</v>
      </c>
    </row>
    <row r="264" spans="1:32" x14ac:dyDescent="0.45">
      <c r="A264">
        <v>185</v>
      </c>
      <c r="B264">
        <v>23.62</v>
      </c>
      <c r="C264">
        <v>16.25</v>
      </c>
      <c r="Q264">
        <v>182</v>
      </c>
      <c r="R264">
        <v>57.63</v>
      </c>
      <c r="T264">
        <f t="shared" si="15"/>
        <v>0.1102061855669163</v>
      </c>
      <c r="AC264">
        <v>182</v>
      </c>
      <c r="AD264">
        <v>7.94</v>
      </c>
      <c r="AF264">
        <f t="shared" si="14"/>
        <v>0.13282474226801799</v>
      </c>
    </row>
    <row r="265" spans="1:32" x14ac:dyDescent="0.45">
      <c r="A265">
        <v>186</v>
      </c>
      <c r="B265">
        <v>23.56</v>
      </c>
      <c r="C265">
        <v>16.309999999999999</v>
      </c>
      <c r="Q265">
        <v>183</v>
      </c>
      <c r="R265">
        <v>57.63</v>
      </c>
      <c r="T265">
        <f t="shared" si="15"/>
        <v>0.1102061855669163</v>
      </c>
      <c r="AC265">
        <v>183</v>
      </c>
      <c r="AD265">
        <v>7.94</v>
      </c>
      <c r="AF265">
        <f t="shared" si="14"/>
        <v>0.13282474226801799</v>
      </c>
    </row>
    <row r="266" spans="1:32" x14ac:dyDescent="0.45">
      <c r="A266">
        <v>187</v>
      </c>
      <c r="B266">
        <v>23.5</v>
      </c>
      <c r="C266">
        <v>16.37</v>
      </c>
      <c r="Q266">
        <v>184</v>
      </c>
      <c r="R266">
        <v>57.63</v>
      </c>
      <c r="T266">
        <f t="shared" si="15"/>
        <v>0.1102061855669163</v>
      </c>
      <c r="AC266">
        <v>184</v>
      </c>
      <c r="AD266">
        <v>8</v>
      </c>
      <c r="AF266">
        <f t="shared" si="14"/>
        <v>0.1928247422680176</v>
      </c>
    </row>
    <row r="267" spans="1:32" x14ac:dyDescent="0.45">
      <c r="A267">
        <v>188</v>
      </c>
      <c r="B267">
        <v>23.5</v>
      </c>
      <c r="C267">
        <v>16.440000000000001</v>
      </c>
      <c r="Q267">
        <v>185</v>
      </c>
      <c r="R267">
        <v>57.63</v>
      </c>
      <c r="T267">
        <f t="shared" si="15"/>
        <v>0.1102061855669163</v>
      </c>
      <c r="AC267">
        <v>185</v>
      </c>
      <c r="AD267">
        <v>8</v>
      </c>
      <c r="AF267">
        <f t="shared" si="14"/>
        <v>0.1928247422680176</v>
      </c>
    </row>
    <row r="268" spans="1:32" x14ac:dyDescent="0.45">
      <c r="A268">
        <v>189</v>
      </c>
      <c r="B268">
        <v>23.44</v>
      </c>
      <c r="C268">
        <v>16.559999999999999</v>
      </c>
      <c r="Q268">
        <v>186</v>
      </c>
      <c r="R268">
        <v>57.63</v>
      </c>
      <c r="T268">
        <f t="shared" si="15"/>
        <v>0.1102061855669163</v>
      </c>
      <c r="AC268">
        <v>186</v>
      </c>
      <c r="AD268">
        <v>8</v>
      </c>
      <c r="AF268">
        <f t="shared" si="14"/>
        <v>0.1928247422680176</v>
      </c>
    </row>
    <row r="269" spans="1:32" x14ac:dyDescent="0.45">
      <c r="A269">
        <v>190</v>
      </c>
      <c r="B269">
        <v>23.44</v>
      </c>
      <c r="C269">
        <v>16.62</v>
      </c>
      <c r="Q269">
        <v>187</v>
      </c>
      <c r="R269">
        <v>57.63</v>
      </c>
      <c r="T269">
        <f t="shared" si="15"/>
        <v>0.1102061855669163</v>
      </c>
      <c r="AC269">
        <v>187</v>
      </c>
      <c r="AD269">
        <v>8</v>
      </c>
      <c r="AF269">
        <f t="shared" si="14"/>
        <v>0.1928247422680176</v>
      </c>
    </row>
    <row r="270" spans="1:32" x14ac:dyDescent="0.45">
      <c r="A270">
        <v>191</v>
      </c>
      <c r="B270">
        <v>23.37</v>
      </c>
      <c r="C270">
        <v>16.690000000000001</v>
      </c>
      <c r="Q270">
        <v>188</v>
      </c>
      <c r="R270">
        <v>57.63</v>
      </c>
      <c r="T270">
        <f t="shared" si="15"/>
        <v>0.1102061855669163</v>
      </c>
      <c r="AC270">
        <v>188</v>
      </c>
      <c r="AD270">
        <v>8</v>
      </c>
      <c r="AF270">
        <f t="shared" si="14"/>
        <v>0.1928247422680176</v>
      </c>
    </row>
    <row r="271" spans="1:32" x14ac:dyDescent="0.45">
      <c r="A271">
        <v>192</v>
      </c>
      <c r="B271">
        <v>23.31</v>
      </c>
      <c r="C271">
        <v>16.75</v>
      </c>
      <c r="Q271">
        <v>189</v>
      </c>
      <c r="R271">
        <v>57.69</v>
      </c>
      <c r="T271">
        <f t="shared" si="15"/>
        <v>0.17020618556691147</v>
      </c>
      <c r="AC271">
        <v>189</v>
      </c>
      <c r="AD271">
        <v>8</v>
      </c>
      <c r="AF271">
        <f t="shared" si="14"/>
        <v>0.1928247422680176</v>
      </c>
    </row>
    <row r="272" spans="1:32" x14ac:dyDescent="0.45">
      <c r="A272">
        <v>193</v>
      </c>
      <c r="B272">
        <v>23.31</v>
      </c>
      <c r="C272">
        <v>16.75</v>
      </c>
      <c r="Q272">
        <v>190</v>
      </c>
      <c r="R272">
        <v>57.69</v>
      </c>
      <c r="T272">
        <f t="shared" si="15"/>
        <v>0.17020618556691147</v>
      </c>
      <c r="AC272">
        <v>190</v>
      </c>
      <c r="AD272">
        <v>8</v>
      </c>
      <c r="AF272">
        <f t="shared" si="14"/>
        <v>0.1928247422680176</v>
      </c>
    </row>
    <row r="273" spans="1:32" x14ac:dyDescent="0.45">
      <c r="A273">
        <v>194</v>
      </c>
      <c r="B273">
        <v>23.25</v>
      </c>
      <c r="C273">
        <v>16.87</v>
      </c>
      <c r="Q273">
        <v>191</v>
      </c>
      <c r="R273">
        <v>57.69</v>
      </c>
      <c r="T273">
        <f t="shared" si="15"/>
        <v>0.17020618556691147</v>
      </c>
      <c r="AC273">
        <v>191</v>
      </c>
      <c r="AD273">
        <v>7.94</v>
      </c>
      <c r="AF273">
        <f t="shared" si="14"/>
        <v>0.13282474226801799</v>
      </c>
    </row>
    <row r="274" spans="1:32" x14ac:dyDescent="0.45">
      <c r="A274">
        <v>195</v>
      </c>
      <c r="B274">
        <v>23.25</v>
      </c>
      <c r="C274">
        <v>16.940000000000001</v>
      </c>
      <c r="Q274">
        <v>192</v>
      </c>
      <c r="R274">
        <v>57.75</v>
      </c>
      <c r="T274">
        <f t="shared" si="15"/>
        <v>0.23020618556691375</v>
      </c>
      <c r="AC274">
        <v>192</v>
      </c>
      <c r="AD274">
        <v>7.94</v>
      </c>
      <c r="AF274">
        <f t="shared" si="14"/>
        <v>0.13282474226801799</v>
      </c>
    </row>
    <row r="275" spans="1:32" x14ac:dyDescent="0.45">
      <c r="A275">
        <v>196</v>
      </c>
      <c r="B275">
        <v>23.19</v>
      </c>
      <c r="C275">
        <v>17</v>
      </c>
      <c r="Q275">
        <v>193</v>
      </c>
      <c r="R275">
        <v>57.69</v>
      </c>
      <c r="T275">
        <f t="shared" si="15"/>
        <v>0.17020618556691147</v>
      </c>
      <c r="AC275">
        <v>193</v>
      </c>
      <c r="AD275">
        <v>7.94</v>
      </c>
      <c r="AF275">
        <f t="shared" ref="AF275:AF338" si="16">(AD275-$AE$82)</f>
        <v>0.13282474226801799</v>
      </c>
    </row>
    <row r="276" spans="1:32" x14ac:dyDescent="0.45">
      <c r="A276">
        <v>197</v>
      </c>
      <c r="B276">
        <v>23.19</v>
      </c>
      <c r="C276">
        <v>17.059999999999999</v>
      </c>
      <c r="Q276">
        <v>194</v>
      </c>
      <c r="R276">
        <v>57.69</v>
      </c>
      <c r="T276">
        <f t="shared" ref="T276:T339" si="17">(R276-$S$82)</f>
        <v>0.17020618556691147</v>
      </c>
      <c r="AC276">
        <v>194</v>
      </c>
      <c r="AD276">
        <v>7.94</v>
      </c>
      <c r="AF276">
        <f t="shared" si="16"/>
        <v>0.13282474226801799</v>
      </c>
    </row>
    <row r="277" spans="1:32" x14ac:dyDescent="0.45">
      <c r="A277">
        <v>198</v>
      </c>
      <c r="B277">
        <v>23.12</v>
      </c>
      <c r="C277">
        <v>17.12</v>
      </c>
      <c r="Q277">
        <v>195</v>
      </c>
      <c r="R277">
        <v>57.69</v>
      </c>
      <c r="T277">
        <f t="shared" si="17"/>
        <v>0.17020618556691147</v>
      </c>
      <c r="AC277">
        <v>195</v>
      </c>
      <c r="AD277">
        <v>7.94</v>
      </c>
      <c r="AF277">
        <f t="shared" si="16"/>
        <v>0.13282474226801799</v>
      </c>
    </row>
    <row r="278" spans="1:32" x14ac:dyDescent="0.45">
      <c r="A278">
        <v>199</v>
      </c>
      <c r="B278">
        <v>23.12</v>
      </c>
      <c r="C278">
        <v>17.12</v>
      </c>
      <c r="Q278">
        <v>196</v>
      </c>
      <c r="R278">
        <v>57.75</v>
      </c>
      <c r="T278">
        <f t="shared" si="17"/>
        <v>0.23020618556691375</v>
      </c>
      <c r="AC278">
        <v>196</v>
      </c>
      <c r="AD278">
        <v>7.94</v>
      </c>
      <c r="AF278">
        <f t="shared" si="16"/>
        <v>0.13282474226801799</v>
      </c>
    </row>
    <row r="279" spans="1:32" x14ac:dyDescent="0.45">
      <c r="A279">
        <v>200</v>
      </c>
      <c r="B279">
        <v>23.06</v>
      </c>
      <c r="C279">
        <v>17.25</v>
      </c>
      <c r="Q279">
        <v>197</v>
      </c>
      <c r="R279">
        <v>57.75</v>
      </c>
      <c r="T279">
        <f t="shared" si="17"/>
        <v>0.23020618556691375</v>
      </c>
      <c r="AC279">
        <v>197</v>
      </c>
      <c r="AD279">
        <v>7.94</v>
      </c>
      <c r="AF279">
        <f t="shared" si="16"/>
        <v>0.13282474226801799</v>
      </c>
    </row>
    <row r="280" spans="1:32" x14ac:dyDescent="0.45">
      <c r="A280">
        <v>201</v>
      </c>
      <c r="B280">
        <v>23.06</v>
      </c>
      <c r="C280">
        <v>17.309999999999999</v>
      </c>
      <c r="Q280">
        <v>198</v>
      </c>
      <c r="R280">
        <v>57.75</v>
      </c>
      <c r="T280">
        <f t="shared" si="17"/>
        <v>0.23020618556691375</v>
      </c>
      <c r="AC280">
        <v>198</v>
      </c>
      <c r="AD280">
        <v>7.94</v>
      </c>
      <c r="AF280">
        <f t="shared" si="16"/>
        <v>0.13282474226801799</v>
      </c>
    </row>
    <row r="281" spans="1:32" x14ac:dyDescent="0.45">
      <c r="A281">
        <v>202</v>
      </c>
      <c r="B281">
        <v>23</v>
      </c>
      <c r="C281">
        <v>17.309999999999999</v>
      </c>
      <c r="Q281">
        <v>199</v>
      </c>
      <c r="R281">
        <v>57.75</v>
      </c>
      <c r="T281">
        <f t="shared" si="17"/>
        <v>0.23020618556691375</v>
      </c>
      <c r="AC281">
        <v>199</v>
      </c>
      <c r="AD281">
        <v>7.88</v>
      </c>
      <c r="AF281">
        <f t="shared" si="16"/>
        <v>7.2824742268017495E-2</v>
      </c>
    </row>
    <row r="282" spans="1:32" x14ac:dyDescent="0.45">
      <c r="A282">
        <v>203</v>
      </c>
      <c r="B282">
        <v>23</v>
      </c>
      <c r="C282">
        <v>17.37</v>
      </c>
      <c r="Q282">
        <v>200</v>
      </c>
      <c r="R282">
        <v>57.69</v>
      </c>
      <c r="T282">
        <f t="shared" si="17"/>
        <v>0.17020618556691147</v>
      </c>
      <c r="AC282">
        <v>200</v>
      </c>
      <c r="AD282">
        <v>7.88</v>
      </c>
      <c r="AF282">
        <f t="shared" si="16"/>
        <v>7.2824742268017495E-2</v>
      </c>
    </row>
    <row r="283" spans="1:32" x14ac:dyDescent="0.45">
      <c r="A283">
        <v>204</v>
      </c>
      <c r="B283">
        <v>22.94</v>
      </c>
      <c r="C283">
        <v>17.5</v>
      </c>
      <c r="Q283">
        <v>201</v>
      </c>
      <c r="R283">
        <v>57.69</v>
      </c>
      <c r="T283">
        <f t="shared" si="17"/>
        <v>0.17020618556691147</v>
      </c>
      <c r="AC283">
        <v>201</v>
      </c>
      <c r="AD283">
        <v>7.88</v>
      </c>
      <c r="AF283">
        <f t="shared" si="16"/>
        <v>7.2824742268017495E-2</v>
      </c>
    </row>
    <row r="284" spans="1:32" x14ac:dyDescent="0.45">
      <c r="A284">
        <v>205</v>
      </c>
      <c r="B284">
        <v>22.94</v>
      </c>
      <c r="C284">
        <v>17.5</v>
      </c>
      <c r="Q284">
        <v>202</v>
      </c>
      <c r="R284">
        <v>57.69</v>
      </c>
      <c r="T284">
        <f t="shared" si="17"/>
        <v>0.17020618556691147</v>
      </c>
      <c r="AC284">
        <v>202</v>
      </c>
      <c r="AD284">
        <v>7.81</v>
      </c>
      <c r="AF284">
        <f t="shared" si="16"/>
        <v>2.8247422680172107E-3</v>
      </c>
    </row>
    <row r="285" spans="1:32" x14ac:dyDescent="0.45">
      <c r="A285">
        <v>206</v>
      </c>
      <c r="B285">
        <v>22.87</v>
      </c>
      <c r="C285">
        <v>17.559999999999999</v>
      </c>
      <c r="Q285">
        <v>203</v>
      </c>
      <c r="R285">
        <v>57.69</v>
      </c>
      <c r="T285">
        <f t="shared" si="17"/>
        <v>0.17020618556691147</v>
      </c>
      <c r="AC285">
        <v>203</v>
      </c>
      <c r="AD285">
        <v>7.81</v>
      </c>
      <c r="AF285">
        <f t="shared" si="16"/>
        <v>2.8247422680172107E-3</v>
      </c>
    </row>
    <row r="286" spans="1:32" x14ac:dyDescent="0.45">
      <c r="A286">
        <v>207</v>
      </c>
      <c r="B286">
        <v>22.87</v>
      </c>
      <c r="C286">
        <v>17.62</v>
      </c>
      <c r="Q286">
        <v>204</v>
      </c>
      <c r="R286">
        <v>57.69</v>
      </c>
      <c r="T286">
        <f t="shared" si="17"/>
        <v>0.17020618556691147</v>
      </c>
      <c r="AC286">
        <v>204</v>
      </c>
      <c r="AD286">
        <v>7.81</v>
      </c>
      <c r="AF286">
        <f t="shared" si="16"/>
        <v>2.8247422680172107E-3</v>
      </c>
    </row>
    <row r="287" spans="1:32" x14ac:dyDescent="0.45">
      <c r="A287">
        <v>208</v>
      </c>
      <c r="B287">
        <v>22.81</v>
      </c>
      <c r="C287">
        <v>17.62</v>
      </c>
      <c r="Q287">
        <v>205</v>
      </c>
      <c r="R287">
        <v>57.69</v>
      </c>
      <c r="T287">
        <f t="shared" si="17"/>
        <v>0.17020618556691147</v>
      </c>
      <c r="AC287">
        <v>205</v>
      </c>
      <c r="AD287">
        <v>7.88</v>
      </c>
      <c r="AF287">
        <f t="shared" si="16"/>
        <v>7.2824742268017495E-2</v>
      </c>
    </row>
    <row r="288" spans="1:32" x14ac:dyDescent="0.45">
      <c r="A288">
        <v>209</v>
      </c>
      <c r="B288">
        <v>22.81</v>
      </c>
      <c r="C288">
        <v>17.690000000000001</v>
      </c>
      <c r="Q288">
        <v>206</v>
      </c>
      <c r="R288">
        <v>57.69</v>
      </c>
      <c r="T288">
        <f t="shared" si="17"/>
        <v>0.17020618556691147</v>
      </c>
      <c r="AC288">
        <v>206</v>
      </c>
      <c r="AD288">
        <v>7.88</v>
      </c>
      <c r="AF288">
        <f t="shared" si="16"/>
        <v>7.2824742268017495E-2</v>
      </c>
    </row>
    <row r="289" spans="1:32" x14ac:dyDescent="0.45">
      <c r="A289">
        <v>210</v>
      </c>
      <c r="B289">
        <v>22.75</v>
      </c>
      <c r="C289">
        <v>17.75</v>
      </c>
      <c r="Q289">
        <v>207</v>
      </c>
      <c r="R289">
        <v>57.69</v>
      </c>
      <c r="T289">
        <f t="shared" si="17"/>
        <v>0.17020618556691147</v>
      </c>
      <c r="AC289">
        <v>207</v>
      </c>
      <c r="AD289">
        <v>7.88</v>
      </c>
      <c r="AF289">
        <f t="shared" si="16"/>
        <v>7.2824742268017495E-2</v>
      </c>
    </row>
    <row r="290" spans="1:32" x14ac:dyDescent="0.45">
      <c r="A290">
        <v>211</v>
      </c>
      <c r="B290">
        <v>22.75</v>
      </c>
      <c r="C290">
        <v>17.809999999999999</v>
      </c>
      <c r="Q290">
        <v>208</v>
      </c>
      <c r="R290">
        <v>57.69</v>
      </c>
      <c r="T290">
        <f t="shared" si="17"/>
        <v>0.17020618556691147</v>
      </c>
      <c r="AC290">
        <v>208</v>
      </c>
      <c r="AD290">
        <v>7.81</v>
      </c>
      <c r="AF290">
        <f t="shared" si="16"/>
        <v>2.8247422680172107E-3</v>
      </c>
    </row>
    <row r="291" spans="1:32" x14ac:dyDescent="0.45">
      <c r="A291">
        <v>212</v>
      </c>
      <c r="B291">
        <v>22.75</v>
      </c>
      <c r="C291">
        <v>17.87</v>
      </c>
      <c r="Q291">
        <v>209</v>
      </c>
      <c r="R291">
        <v>57.69</v>
      </c>
      <c r="T291">
        <f t="shared" si="17"/>
        <v>0.17020618556691147</v>
      </c>
      <c r="AC291">
        <v>209</v>
      </c>
      <c r="AD291">
        <v>7.81</v>
      </c>
      <c r="AF291">
        <f t="shared" si="16"/>
        <v>2.8247422680172107E-3</v>
      </c>
    </row>
    <row r="292" spans="1:32" x14ac:dyDescent="0.45">
      <c r="A292">
        <v>213</v>
      </c>
      <c r="B292">
        <v>22.69</v>
      </c>
      <c r="C292">
        <v>17.940000000000001</v>
      </c>
      <c r="Q292">
        <v>210</v>
      </c>
      <c r="R292">
        <v>57.63</v>
      </c>
      <c r="T292">
        <f t="shared" si="17"/>
        <v>0.1102061855669163</v>
      </c>
      <c r="AC292">
        <v>210</v>
      </c>
      <c r="AD292">
        <v>7.81</v>
      </c>
      <c r="AF292">
        <f t="shared" si="16"/>
        <v>2.8247422680172107E-3</v>
      </c>
    </row>
    <row r="293" spans="1:32" x14ac:dyDescent="0.45">
      <c r="A293">
        <v>214</v>
      </c>
      <c r="B293">
        <v>22.69</v>
      </c>
      <c r="C293">
        <v>17.940000000000001</v>
      </c>
      <c r="Q293">
        <v>211</v>
      </c>
      <c r="R293">
        <v>57.56</v>
      </c>
      <c r="T293">
        <f t="shared" si="17"/>
        <v>4.020618556691602E-2</v>
      </c>
      <c r="AC293">
        <v>211</v>
      </c>
      <c r="AD293">
        <v>7.81</v>
      </c>
      <c r="AF293">
        <f t="shared" si="16"/>
        <v>2.8247422680172107E-3</v>
      </c>
    </row>
    <row r="294" spans="1:32" x14ac:dyDescent="0.45">
      <c r="A294">
        <v>215</v>
      </c>
      <c r="B294">
        <v>22.62</v>
      </c>
      <c r="C294">
        <v>18</v>
      </c>
      <c r="Q294">
        <v>212</v>
      </c>
      <c r="R294">
        <v>57.5</v>
      </c>
      <c r="T294">
        <f t="shared" si="17"/>
        <v>-1.9793814433086254E-2</v>
      </c>
      <c r="AC294">
        <v>212</v>
      </c>
      <c r="AD294">
        <v>7.81</v>
      </c>
      <c r="AF294">
        <f t="shared" si="16"/>
        <v>2.8247422680172107E-3</v>
      </c>
    </row>
    <row r="295" spans="1:32" x14ac:dyDescent="0.45">
      <c r="A295">
        <v>216</v>
      </c>
      <c r="B295">
        <v>22.62</v>
      </c>
      <c r="C295">
        <v>18.059999999999999</v>
      </c>
      <c r="Q295">
        <v>213</v>
      </c>
      <c r="R295">
        <v>57.5</v>
      </c>
      <c r="T295">
        <f t="shared" si="17"/>
        <v>-1.9793814433086254E-2</v>
      </c>
      <c r="AC295">
        <v>213</v>
      </c>
      <c r="AD295">
        <v>7.81</v>
      </c>
      <c r="AF295">
        <f t="shared" si="16"/>
        <v>2.8247422680172107E-3</v>
      </c>
    </row>
    <row r="296" spans="1:32" x14ac:dyDescent="0.45">
      <c r="A296">
        <v>217</v>
      </c>
      <c r="B296">
        <v>22.56</v>
      </c>
      <c r="C296">
        <v>18.12</v>
      </c>
      <c r="Q296">
        <v>214</v>
      </c>
      <c r="R296">
        <v>57.44</v>
      </c>
      <c r="T296">
        <f t="shared" si="17"/>
        <v>-7.9793814433088528E-2</v>
      </c>
      <c r="AC296">
        <v>214</v>
      </c>
      <c r="AD296">
        <v>7.81</v>
      </c>
      <c r="AF296">
        <f t="shared" si="16"/>
        <v>2.8247422680172107E-3</v>
      </c>
    </row>
    <row r="297" spans="1:32" x14ac:dyDescent="0.45">
      <c r="A297">
        <v>218</v>
      </c>
      <c r="B297">
        <v>22.56</v>
      </c>
      <c r="C297">
        <v>18.12</v>
      </c>
      <c r="Q297">
        <v>215</v>
      </c>
      <c r="R297">
        <v>57.38</v>
      </c>
      <c r="T297">
        <f t="shared" si="17"/>
        <v>-0.1397938144330837</v>
      </c>
      <c r="AC297">
        <v>215</v>
      </c>
      <c r="AD297">
        <v>7.81</v>
      </c>
      <c r="AF297">
        <f t="shared" si="16"/>
        <v>2.8247422680172107E-3</v>
      </c>
    </row>
    <row r="298" spans="1:32" x14ac:dyDescent="0.45">
      <c r="A298">
        <v>219</v>
      </c>
      <c r="B298">
        <v>22.56</v>
      </c>
      <c r="C298">
        <v>18.190000000000001</v>
      </c>
      <c r="Q298">
        <v>216</v>
      </c>
      <c r="R298">
        <v>57.38</v>
      </c>
      <c r="T298">
        <f t="shared" si="17"/>
        <v>-0.1397938144330837</v>
      </c>
      <c r="AC298">
        <v>216</v>
      </c>
      <c r="AD298">
        <v>7.81</v>
      </c>
      <c r="AF298">
        <f t="shared" si="16"/>
        <v>2.8247422680172107E-3</v>
      </c>
    </row>
    <row r="299" spans="1:32" x14ac:dyDescent="0.45">
      <c r="A299">
        <v>220</v>
      </c>
      <c r="B299">
        <v>22.56</v>
      </c>
      <c r="C299">
        <v>18.190000000000001</v>
      </c>
      <c r="Q299">
        <v>217</v>
      </c>
      <c r="R299">
        <v>57.38</v>
      </c>
      <c r="T299">
        <f t="shared" si="17"/>
        <v>-0.1397938144330837</v>
      </c>
      <c r="AC299">
        <v>217</v>
      </c>
      <c r="AD299">
        <v>7.75</v>
      </c>
      <c r="AF299">
        <f t="shared" si="16"/>
        <v>-5.7175257731982398E-2</v>
      </c>
    </row>
    <row r="300" spans="1:32" x14ac:dyDescent="0.45">
      <c r="A300">
        <v>221</v>
      </c>
      <c r="B300">
        <v>22.5</v>
      </c>
      <c r="C300">
        <v>18.309999999999999</v>
      </c>
      <c r="Q300">
        <v>218</v>
      </c>
      <c r="R300">
        <v>57.38</v>
      </c>
      <c r="T300">
        <f t="shared" si="17"/>
        <v>-0.1397938144330837</v>
      </c>
      <c r="AC300">
        <v>218</v>
      </c>
      <c r="AD300">
        <v>7.75</v>
      </c>
      <c r="AF300">
        <f t="shared" si="16"/>
        <v>-5.7175257731982398E-2</v>
      </c>
    </row>
    <row r="301" spans="1:32" x14ac:dyDescent="0.45">
      <c r="A301">
        <v>222</v>
      </c>
      <c r="B301">
        <v>22.5</v>
      </c>
      <c r="C301">
        <v>18.309999999999999</v>
      </c>
      <c r="Q301">
        <v>219</v>
      </c>
      <c r="R301">
        <v>57.38</v>
      </c>
      <c r="T301">
        <f t="shared" si="17"/>
        <v>-0.1397938144330837</v>
      </c>
      <c r="AC301">
        <v>219</v>
      </c>
      <c r="AD301">
        <v>7.75</v>
      </c>
      <c r="AF301">
        <f t="shared" si="16"/>
        <v>-5.7175257731982398E-2</v>
      </c>
    </row>
    <row r="302" spans="1:32" x14ac:dyDescent="0.45">
      <c r="A302">
        <v>223</v>
      </c>
      <c r="B302">
        <v>22.5</v>
      </c>
      <c r="C302">
        <v>18.37</v>
      </c>
      <c r="Q302">
        <v>220</v>
      </c>
      <c r="R302">
        <v>57.44</v>
      </c>
      <c r="T302">
        <f t="shared" si="17"/>
        <v>-7.9793814433088528E-2</v>
      </c>
      <c r="AC302">
        <v>220</v>
      </c>
      <c r="AD302">
        <v>7.75</v>
      </c>
      <c r="AF302">
        <f t="shared" si="16"/>
        <v>-5.7175257731982398E-2</v>
      </c>
    </row>
    <row r="303" spans="1:32" x14ac:dyDescent="0.45">
      <c r="A303">
        <v>224</v>
      </c>
      <c r="B303">
        <v>22.44</v>
      </c>
      <c r="C303">
        <v>18.440000000000001</v>
      </c>
      <c r="Q303">
        <v>221</v>
      </c>
      <c r="R303">
        <v>57.38</v>
      </c>
      <c r="T303">
        <f t="shared" si="17"/>
        <v>-0.1397938144330837</v>
      </c>
      <c r="AC303">
        <v>221</v>
      </c>
      <c r="AD303">
        <v>7.75</v>
      </c>
      <c r="AF303">
        <f t="shared" si="16"/>
        <v>-5.7175257731982398E-2</v>
      </c>
    </row>
    <row r="304" spans="1:32" x14ac:dyDescent="0.45">
      <c r="A304">
        <v>225</v>
      </c>
      <c r="B304">
        <v>22.44</v>
      </c>
      <c r="C304">
        <v>18.440000000000001</v>
      </c>
      <c r="Q304">
        <v>222</v>
      </c>
      <c r="R304">
        <v>57.38</v>
      </c>
      <c r="T304">
        <f t="shared" si="17"/>
        <v>-0.1397938144330837</v>
      </c>
      <c r="AC304">
        <v>222</v>
      </c>
      <c r="AD304">
        <v>7.75</v>
      </c>
      <c r="AF304">
        <f t="shared" si="16"/>
        <v>-5.7175257731982398E-2</v>
      </c>
    </row>
    <row r="305" spans="1:32" x14ac:dyDescent="0.45">
      <c r="A305">
        <v>226</v>
      </c>
      <c r="B305">
        <v>22.37</v>
      </c>
      <c r="C305">
        <v>18.559999999999999</v>
      </c>
      <c r="Q305">
        <v>223</v>
      </c>
      <c r="R305">
        <v>57.31</v>
      </c>
      <c r="T305">
        <f t="shared" si="17"/>
        <v>-0.20979381443308398</v>
      </c>
      <c r="AC305">
        <v>223</v>
      </c>
      <c r="AD305">
        <v>7.75</v>
      </c>
      <c r="AF305">
        <f t="shared" si="16"/>
        <v>-5.7175257731982398E-2</v>
      </c>
    </row>
    <row r="306" spans="1:32" x14ac:dyDescent="0.45">
      <c r="A306">
        <v>227</v>
      </c>
      <c r="B306">
        <v>22.37</v>
      </c>
      <c r="C306">
        <v>18.559999999999999</v>
      </c>
      <c r="Q306">
        <v>224</v>
      </c>
      <c r="R306">
        <v>57.25</v>
      </c>
      <c r="T306">
        <f t="shared" si="17"/>
        <v>-0.26979381443308625</v>
      </c>
      <c r="AC306">
        <v>224</v>
      </c>
      <c r="AD306">
        <v>7.75</v>
      </c>
      <c r="AF306">
        <f t="shared" si="16"/>
        <v>-5.7175257731982398E-2</v>
      </c>
    </row>
    <row r="307" spans="1:32" x14ac:dyDescent="0.45">
      <c r="A307">
        <v>228</v>
      </c>
      <c r="B307">
        <v>22.37</v>
      </c>
      <c r="C307">
        <v>18.559999999999999</v>
      </c>
      <c r="Q307">
        <v>225</v>
      </c>
      <c r="R307">
        <v>57.25</v>
      </c>
      <c r="T307">
        <f t="shared" si="17"/>
        <v>-0.26979381443308625</v>
      </c>
      <c r="AC307">
        <v>225</v>
      </c>
      <c r="AD307">
        <v>7.75</v>
      </c>
      <c r="AF307">
        <f t="shared" si="16"/>
        <v>-5.7175257731982398E-2</v>
      </c>
    </row>
    <row r="308" spans="1:32" x14ac:dyDescent="0.45">
      <c r="A308">
        <v>229</v>
      </c>
      <c r="B308">
        <v>22.37</v>
      </c>
      <c r="C308">
        <v>18.62</v>
      </c>
      <c r="Q308">
        <v>226</v>
      </c>
      <c r="R308">
        <v>57.25</v>
      </c>
      <c r="T308">
        <f t="shared" si="17"/>
        <v>-0.26979381443308625</v>
      </c>
      <c r="AC308">
        <v>226</v>
      </c>
      <c r="AD308">
        <v>7.75</v>
      </c>
      <c r="AF308">
        <f t="shared" si="16"/>
        <v>-5.7175257731982398E-2</v>
      </c>
    </row>
    <row r="309" spans="1:32" x14ac:dyDescent="0.45">
      <c r="A309">
        <v>230</v>
      </c>
      <c r="B309">
        <v>22.37</v>
      </c>
      <c r="C309">
        <v>18.690000000000001</v>
      </c>
      <c r="Q309">
        <v>227</v>
      </c>
      <c r="R309">
        <v>57.25</v>
      </c>
      <c r="T309">
        <f t="shared" si="17"/>
        <v>-0.26979381443308625</v>
      </c>
      <c r="AC309">
        <v>227</v>
      </c>
      <c r="AD309">
        <v>7.75</v>
      </c>
      <c r="AF309">
        <f t="shared" si="16"/>
        <v>-5.7175257731982398E-2</v>
      </c>
    </row>
    <row r="310" spans="1:32" x14ac:dyDescent="0.45">
      <c r="A310">
        <v>231</v>
      </c>
      <c r="B310">
        <v>22.31</v>
      </c>
      <c r="C310">
        <v>18.690000000000001</v>
      </c>
      <c r="Q310">
        <v>228</v>
      </c>
      <c r="R310">
        <v>57.25</v>
      </c>
      <c r="T310">
        <f t="shared" si="17"/>
        <v>-0.26979381443308625</v>
      </c>
      <c r="AC310">
        <v>228</v>
      </c>
      <c r="AD310">
        <v>7.75</v>
      </c>
      <c r="AF310">
        <f t="shared" si="16"/>
        <v>-5.7175257731982398E-2</v>
      </c>
    </row>
    <row r="311" spans="1:32" x14ac:dyDescent="0.45">
      <c r="A311">
        <v>232</v>
      </c>
      <c r="B311">
        <v>22.31</v>
      </c>
      <c r="C311">
        <v>18.75</v>
      </c>
      <c r="Q311">
        <v>229</v>
      </c>
      <c r="R311">
        <v>57.31</v>
      </c>
      <c r="T311">
        <f t="shared" si="17"/>
        <v>-0.20979381443308398</v>
      </c>
      <c r="AC311">
        <v>229</v>
      </c>
      <c r="AD311">
        <v>7.75</v>
      </c>
      <c r="AF311">
        <f t="shared" si="16"/>
        <v>-5.7175257731982398E-2</v>
      </c>
    </row>
    <row r="312" spans="1:32" x14ac:dyDescent="0.45">
      <c r="A312">
        <v>233</v>
      </c>
      <c r="B312">
        <v>22.31</v>
      </c>
      <c r="C312">
        <v>18.809999999999999</v>
      </c>
      <c r="Q312">
        <v>230</v>
      </c>
      <c r="R312">
        <v>57.38</v>
      </c>
      <c r="T312">
        <f t="shared" si="17"/>
        <v>-0.1397938144330837</v>
      </c>
      <c r="AC312">
        <v>230</v>
      </c>
      <c r="AD312">
        <v>7.75</v>
      </c>
      <c r="AF312">
        <f t="shared" si="16"/>
        <v>-5.7175257731982398E-2</v>
      </c>
    </row>
    <row r="313" spans="1:32" x14ac:dyDescent="0.45">
      <c r="A313">
        <v>234</v>
      </c>
      <c r="B313">
        <v>22.31</v>
      </c>
      <c r="C313">
        <v>18.809999999999999</v>
      </c>
      <c r="Q313">
        <v>231</v>
      </c>
      <c r="R313">
        <v>57.38</v>
      </c>
      <c r="T313">
        <f t="shared" si="17"/>
        <v>-0.1397938144330837</v>
      </c>
      <c r="AC313">
        <v>231</v>
      </c>
      <c r="AD313">
        <v>7.75</v>
      </c>
      <c r="AF313">
        <f t="shared" si="16"/>
        <v>-5.7175257731982398E-2</v>
      </c>
    </row>
    <row r="314" spans="1:32" x14ac:dyDescent="0.45">
      <c r="A314">
        <v>235</v>
      </c>
      <c r="B314">
        <v>22.25</v>
      </c>
      <c r="C314">
        <v>18.87</v>
      </c>
      <c r="Q314">
        <v>232</v>
      </c>
      <c r="R314">
        <v>57.38</v>
      </c>
      <c r="T314">
        <f t="shared" si="17"/>
        <v>-0.1397938144330837</v>
      </c>
      <c r="AC314">
        <v>232</v>
      </c>
      <c r="AD314">
        <v>7.75</v>
      </c>
      <c r="AF314">
        <f t="shared" si="16"/>
        <v>-5.7175257731982398E-2</v>
      </c>
    </row>
    <row r="315" spans="1:32" x14ac:dyDescent="0.45">
      <c r="A315">
        <v>236</v>
      </c>
      <c r="B315">
        <v>22.25</v>
      </c>
      <c r="C315">
        <v>18.940000000000001</v>
      </c>
      <c r="Q315">
        <v>233</v>
      </c>
      <c r="R315">
        <v>57.44</v>
      </c>
      <c r="T315">
        <f t="shared" si="17"/>
        <v>-7.9793814433088528E-2</v>
      </c>
      <c r="AC315">
        <v>233</v>
      </c>
      <c r="AD315">
        <v>7.75</v>
      </c>
      <c r="AF315">
        <f t="shared" si="16"/>
        <v>-5.7175257731982398E-2</v>
      </c>
    </row>
    <row r="316" spans="1:32" x14ac:dyDescent="0.45">
      <c r="A316">
        <v>237</v>
      </c>
      <c r="B316">
        <v>22.25</v>
      </c>
      <c r="C316">
        <v>18.940000000000001</v>
      </c>
      <c r="Q316">
        <v>234</v>
      </c>
      <c r="R316">
        <v>57.44</v>
      </c>
      <c r="T316">
        <f t="shared" si="17"/>
        <v>-7.9793814433088528E-2</v>
      </c>
      <c r="AC316">
        <v>234</v>
      </c>
      <c r="AD316">
        <v>7.75</v>
      </c>
      <c r="AF316">
        <f t="shared" si="16"/>
        <v>-5.7175257731982398E-2</v>
      </c>
    </row>
    <row r="317" spans="1:32" x14ac:dyDescent="0.45">
      <c r="A317">
        <v>238</v>
      </c>
      <c r="B317">
        <v>22.25</v>
      </c>
      <c r="C317">
        <v>19</v>
      </c>
      <c r="Q317">
        <v>235</v>
      </c>
      <c r="R317">
        <v>57.5</v>
      </c>
      <c r="T317">
        <f t="shared" si="17"/>
        <v>-1.9793814433086254E-2</v>
      </c>
      <c r="AC317">
        <v>235</v>
      </c>
      <c r="AD317">
        <v>7.75</v>
      </c>
      <c r="AF317">
        <f t="shared" si="16"/>
        <v>-5.7175257731982398E-2</v>
      </c>
    </row>
    <row r="318" spans="1:32" x14ac:dyDescent="0.45">
      <c r="A318">
        <v>239</v>
      </c>
      <c r="B318">
        <v>22.25</v>
      </c>
      <c r="C318">
        <v>19</v>
      </c>
      <c r="Q318">
        <v>236</v>
      </c>
      <c r="R318">
        <v>57.5</v>
      </c>
      <c r="T318">
        <f t="shared" si="17"/>
        <v>-1.9793814433086254E-2</v>
      </c>
      <c r="AC318">
        <v>236</v>
      </c>
      <c r="AD318">
        <v>7.75</v>
      </c>
      <c r="AF318">
        <f t="shared" si="16"/>
        <v>-5.7175257731982398E-2</v>
      </c>
    </row>
    <row r="319" spans="1:32" x14ac:dyDescent="0.45">
      <c r="A319">
        <v>240</v>
      </c>
      <c r="B319">
        <v>22.25</v>
      </c>
      <c r="C319">
        <v>19.059999999999999</v>
      </c>
      <c r="Q319">
        <v>237</v>
      </c>
      <c r="R319">
        <v>57.5</v>
      </c>
      <c r="T319">
        <f t="shared" si="17"/>
        <v>-1.9793814433086254E-2</v>
      </c>
      <c r="AC319">
        <v>237</v>
      </c>
      <c r="AD319">
        <v>7.75</v>
      </c>
      <c r="AF319">
        <f t="shared" si="16"/>
        <v>-5.7175257731982398E-2</v>
      </c>
    </row>
    <row r="320" spans="1:32" x14ac:dyDescent="0.45">
      <c r="A320">
        <v>241</v>
      </c>
      <c r="B320">
        <v>22.25</v>
      </c>
      <c r="C320">
        <v>19.12</v>
      </c>
      <c r="Q320">
        <v>238</v>
      </c>
      <c r="R320">
        <v>57.5</v>
      </c>
      <c r="T320">
        <f t="shared" si="17"/>
        <v>-1.9793814433086254E-2</v>
      </c>
      <c r="AC320">
        <v>238</v>
      </c>
      <c r="AD320">
        <v>7.75</v>
      </c>
      <c r="AF320">
        <f t="shared" si="16"/>
        <v>-5.7175257731982398E-2</v>
      </c>
    </row>
    <row r="321" spans="1:32" x14ac:dyDescent="0.45">
      <c r="A321">
        <v>242</v>
      </c>
      <c r="B321">
        <v>22.25</v>
      </c>
      <c r="C321">
        <v>19.12</v>
      </c>
      <c r="Q321">
        <v>239</v>
      </c>
      <c r="R321">
        <v>57.5</v>
      </c>
      <c r="T321">
        <f t="shared" si="17"/>
        <v>-1.9793814433086254E-2</v>
      </c>
      <c r="AC321">
        <v>239</v>
      </c>
      <c r="AD321">
        <v>7.75</v>
      </c>
      <c r="AF321">
        <f t="shared" si="16"/>
        <v>-5.7175257731982398E-2</v>
      </c>
    </row>
    <row r="322" spans="1:32" x14ac:dyDescent="0.45">
      <c r="A322">
        <v>243</v>
      </c>
      <c r="B322">
        <v>22.25</v>
      </c>
      <c r="C322">
        <v>19.190000000000001</v>
      </c>
      <c r="Q322">
        <v>240</v>
      </c>
      <c r="R322">
        <v>57.44</v>
      </c>
      <c r="T322">
        <f t="shared" si="17"/>
        <v>-7.9793814433088528E-2</v>
      </c>
      <c r="AC322">
        <v>240</v>
      </c>
      <c r="AD322">
        <v>7.75</v>
      </c>
      <c r="AF322">
        <f t="shared" si="16"/>
        <v>-5.7175257731982398E-2</v>
      </c>
    </row>
    <row r="323" spans="1:32" x14ac:dyDescent="0.45">
      <c r="A323">
        <v>244</v>
      </c>
      <c r="B323">
        <v>22.25</v>
      </c>
      <c r="C323">
        <v>19.25</v>
      </c>
      <c r="Q323">
        <v>241</v>
      </c>
      <c r="R323">
        <v>57.44</v>
      </c>
      <c r="T323">
        <f t="shared" si="17"/>
        <v>-7.9793814433088528E-2</v>
      </c>
      <c r="AC323">
        <v>241</v>
      </c>
      <c r="AD323">
        <v>7.75</v>
      </c>
      <c r="AF323">
        <f t="shared" si="16"/>
        <v>-5.7175257731982398E-2</v>
      </c>
    </row>
    <row r="324" spans="1:32" x14ac:dyDescent="0.45">
      <c r="A324">
        <v>245</v>
      </c>
      <c r="B324">
        <v>22.25</v>
      </c>
      <c r="C324">
        <v>19.25</v>
      </c>
      <c r="Q324">
        <v>242</v>
      </c>
      <c r="R324">
        <v>57.44</v>
      </c>
      <c r="T324">
        <f t="shared" si="17"/>
        <v>-7.9793814433088528E-2</v>
      </c>
      <c r="AC324">
        <v>242</v>
      </c>
      <c r="AD324">
        <v>7.75</v>
      </c>
      <c r="AF324">
        <f t="shared" si="16"/>
        <v>-5.7175257731982398E-2</v>
      </c>
    </row>
    <row r="325" spans="1:32" x14ac:dyDescent="0.45">
      <c r="A325">
        <v>246</v>
      </c>
      <c r="B325">
        <v>22.25</v>
      </c>
      <c r="C325">
        <v>19.309999999999999</v>
      </c>
      <c r="Q325">
        <v>243</v>
      </c>
      <c r="R325">
        <v>57.5</v>
      </c>
      <c r="T325">
        <f t="shared" si="17"/>
        <v>-1.9793814433086254E-2</v>
      </c>
      <c r="AC325">
        <v>243</v>
      </c>
      <c r="AD325">
        <v>7.75</v>
      </c>
      <c r="AF325">
        <f t="shared" si="16"/>
        <v>-5.7175257731982398E-2</v>
      </c>
    </row>
    <row r="326" spans="1:32" x14ac:dyDescent="0.45">
      <c r="A326">
        <v>247</v>
      </c>
      <c r="B326">
        <v>22.25</v>
      </c>
      <c r="C326">
        <v>19.37</v>
      </c>
      <c r="Q326">
        <v>244</v>
      </c>
      <c r="R326">
        <v>57.44</v>
      </c>
      <c r="T326">
        <f t="shared" si="17"/>
        <v>-7.9793814433088528E-2</v>
      </c>
      <c r="AC326">
        <v>244</v>
      </c>
      <c r="AD326">
        <v>7.75</v>
      </c>
      <c r="AF326">
        <f t="shared" si="16"/>
        <v>-5.7175257731982398E-2</v>
      </c>
    </row>
    <row r="327" spans="1:32" x14ac:dyDescent="0.45">
      <c r="A327">
        <v>248</v>
      </c>
      <c r="B327">
        <v>22.25</v>
      </c>
      <c r="C327">
        <v>19.37</v>
      </c>
      <c r="Q327">
        <v>245</v>
      </c>
      <c r="R327">
        <v>57.5</v>
      </c>
      <c r="T327">
        <f t="shared" si="17"/>
        <v>-1.9793814433086254E-2</v>
      </c>
      <c r="AC327">
        <v>245</v>
      </c>
      <c r="AD327">
        <v>7.75</v>
      </c>
      <c r="AF327">
        <f t="shared" si="16"/>
        <v>-5.7175257731982398E-2</v>
      </c>
    </row>
    <row r="328" spans="1:32" x14ac:dyDescent="0.45">
      <c r="A328">
        <v>249</v>
      </c>
      <c r="B328">
        <v>22.25</v>
      </c>
      <c r="C328">
        <v>19.440000000000001</v>
      </c>
      <c r="Q328">
        <v>246</v>
      </c>
      <c r="R328">
        <v>57.44</v>
      </c>
      <c r="T328">
        <f t="shared" si="17"/>
        <v>-7.9793814433088528E-2</v>
      </c>
      <c r="AC328">
        <v>246</v>
      </c>
      <c r="AD328">
        <v>7.75</v>
      </c>
      <c r="AF328">
        <f t="shared" si="16"/>
        <v>-5.7175257731982398E-2</v>
      </c>
    </row>
    <row r="329" spans="1:32" x14ac:dyDescent="0.45">
      <c r="A329">
        <v>250</v>
      </c>
      <c r="B329">
        <v>22.25</v>
      </c>
      <c r="C329">
        <v>19.5</v>
      </c>
      <c r="Q329">
        <v>247</v>
      </c>
      <c r="R329">
        <v>57.44</v>
      </c>
      <c r="T329">
        <f t="shared" si="17"/>
        <v>-7.9793814433088528E-2</v>
      </c>
      <c r="AC329">
        <v>247</v>
      </c>
      <c r="AD329">
        <v>7.75</v>
      </c>
      <c r="AF329">
        <f t="shared" si="16"/>
        <v>-5.7175257731982398E-2</v>
      </c>
    </row>
    <row r="330" spans="1:32" x14ac:dyDescent="0.45">
      <c r="A330">
        <v>251</v>
      </c>
      <c r="B330">
        <v>22.25</v>
      </c>
      <c r="C330">
        <v>19.559999999999999</v>
      </c>
      <c r="Q330">
        <v>248</v>
      </c>
      <c r="R330">
        <v>57.38</v>
      </c>
      <c r="T330">
        <f t="shared" si="17"/>
        <v>-0.1397938144330837</v>
      </c>
      <c r="AC330">
        <v>248</v>
      </c>
      <c r="AD330">
        <v>7.69</v>
      </c>
      <c r="AF330">
        <f t="shared" si="16"/>
        <v>-0.11717525773198201</v>
      </c>
    </row>
    <row r="331" spans="1:32" x14ac:dyDescent="0.45">
      <c r="A331">
        <v>252</v>
      </c>
      <c r="B331">
        <v>22.19</v>
      </c>
      <c r="C331">
        <v>19.559999999999999</v>
      </c>
      <c r="Q331">
        <v>249</v>
      </c>
      <c r="R331">
        <v>57.38</v>
      </c>
      <c r="T331">
        <f t="shared" si="17"/>
        <v>-0.1397938144330837</v>
      </c>
      <c r="AC331">
        <v>249</v>
      </c>
      <c r="AD331">
        <v>7.69</v>
      </c>
      <c r="AF331">
        <f t="shared" si="16"/>
        <v>-0.11717525773198201</v>
      </c>
    </row>
    <row r="332" spans="1:32" x14ac:dyDescent="0.45">
      <c r="A332">
        <v>253</v>
      </c>
      <c r="B332">
        <v>22.25</v>
      </c>
      <c r="C332">
        <v>19.62</v>
      </c>
      <c r="Q332">
        <v>250</v>
      </c>
      <c r="R332">
        <v>57.31</v>
      </c>
      <c r="T332">
        <f t="shared" si="17"/>
        <v>-0.20979381443308398</v>
      </c>
      <c r="AC332">
        <v>250</v>
      </c>
      <c r="AD332">
        <v>7.69</v>
      </c>
      <c r="AF332">
        <f t="shared" si="16"/>
        <v>-0.11717525773198201</v>
      </c>
    </row>
    <row r="333" spans="1:32" x14ac:dyDescent="0.45">
      <c r="A333">
        <v>254</v>
      </c>
      <c r="B333">
        <v>22.25</v>
      </c>
      <c r="C333">
        <v>19.690000000000001</v>
      </c>
      <c r="Q333">
        <v>251</v>
      </c>
      <c r="R333">
        <v>57.31</v>
      </c>
      <c r="T333">
        <f t="shared" si="17"/>
        <v>-0.20979381443308398</v>
      </c>
      <c r="AC333">
        <v>251</v>
      </c>
      <c r="AD333">
        <v>7.69</v>
      </c>
      <c r="AF333">
        <f t="shared" si="16"/>
        <v>-0.11717525773198201</v>
      </c>
    </row>
    <row r="334" spans="1:32" x14ac:dyDescent="0.45">
      <c r="A334">
        <v>255</v>
      </c>
      <c r="B334">
        <v>22.25</v>
      </c>
      <c r="C334">
        <v>19.690000000000001</v>
      </c>
      <c r="Q334">
        <v>252</v>
      </c>
      <c r="R334">
        <v>57.31</v>
      </c>
      <c r="T334">
        <f t="shared" si="17"/>
        <v>-0.20979381443308398</v>
      </c>
      <c r="AC334">
        <v>252</v>
      </c>
      <c r="AD334">
        <v>7.69</v>
      </c>
      <c r="AF334">
        <f t="shared" si="16"/>
        <v>-0.11717525773198201</v>
      </c>
    </row>
    <row r="335" spans="1:32" x14ac:dyDescent="0.45">
      <c r="A335">
        <v>256</v>
      </c>
      <c r="B335">
        <v>22.19</v>
      </c>
      <c r="C335">
        <v>19.75</v>
      </c>
      <c r="Q335">
        <v>253</v>
      </c>
      <c r="R335">
        <v>57.31</v>
      </c>
      <c r="T335">
        <f t="shared" si="17"/>
        <v>-0.20979381443308398</v>
      </c>
      <c r="AC335">
        <v>253</v>
      </c>
      <c r="AD335">
        <v>7.69</v>
      </c>
      <c r="AF335">
        <f t="shared" si="16"/>
        <v>-0.11717525773198201</v>
      </c>
    </row>
    <row r="336" spans="1:32" x14ac:dyDescent="0.45">
      <c r="A336">
        <v>257</v>
      </c>
      <c r="B336">
        <v>22.19</v>
      </c>
      <c r="C336">
        <v>19.75</v>
      </c>
      <c r="Q336">
        <v>254</v>
      </c>
      <c r="R336">
        <v>57.31</v>
      </c>
      <c r="T336">
        <f t="shared" si="17"/>
        <v>-0.20979381443308398</v>
      </c>
      <c r="AC336">
        <v>254</v>
      </c>
      <c r="AD336">
        <v>7.69</v>
      </c>
      <c r="AF336">
        <f t="shared" si="16"/>
        <v>-0.11717525773198201</v>
      </c>
    </row>
    <row r="337" spans="1:32" x14ac:dyDescent="0.45">
      <c r="A337">
        <v>258</v>
      </c>
      <c r="B337">
        <v>22.19</v>
      </c>
      <c r="C337">
        <v>19.809999999999999</v>
      </c>
      <c r="Q337">
        <v>255</v>
      </c>
      <c r="R337">
        <v>57.38</v>
      </c>
      <c r="T337">
        <f t="shared" si="17"/>
        <v>-0.1397938144330837</v>
      </c>
      <c r="AC337">
        <v>255</v>
      </c>
      <c r="AD337">
        <v>7.69</v>
      </c>
      <c r="AF337">
        <f t="shared" si="16"/>
        <v>-0.11717525773198201</v>
      </c>
    </row>
    <row r="338" spans="1:32" x14ac:dyDescent="0.45">
      <c r="A338">
        <v>259</v>
      </c>
      <c r="B338">
        <v>22.19</v>
      </c>
      <c r="C338">
        <v>19.809999999999999</v>
      </c>
      <c r="Q338">
        <v>256</v>
      </c>
      <c r="R338">
        <v>57.38</v>
      </c>
      <c r="T338">
        <f t="shared" si="17"/>
        <v>-0.1397938144330837</v>
      </c>
      <c r="AC338">
        <v>256</v>
      </c>
      <c r="AD338">
        <v>7.69</v>
      </c>
      <c r="AF338">
        <f t="shared" si="16"/>
        <v>-0.11717525773198201</v>
      </c>
    </row>
    <row r="339" spans="1:32" x14ac:dyDescent="0.45">
      <c r="A339">
        <v>260</v>
      </c>
      <c r="B339">
        <v>22.19</v>
      </c>
      <c r="C339">
        <v>19.87</v>
      </c>
      <c r="Q339">
        <v>257</v>
      </c>
      <c r="R339">
        <v>57.38</v>
      </c>
      <c r="T339">
        <f t="shared" si="17"/>
        <v>-0.1397938144330837</v>
      </c>
      <c r="AC339">
        <v>257</v>
      </c>
      <c r="AD339">
        <v>7.69</v>
      </c>
      <c r="AF339">
        <f t="shared" ref="AF339:AF402" si="18">(AD339-$AE$82)</f>
        <v>-0.11717525773198201</v>
      </c>
    </row>
    <row r="340" spans="1:32" x14ac:dyDescent="0.45">
      <c r="A340">
        <v>261</v>
      </c>
      <c r="B340">
        <v>22.12</v>
      </c>
      <c r="C340">
        <v>19.87</v>
      </c>
      <c r="Q340">
        <v>258</v>
      </c>
      <c r="R340">
        <v>57.44</v>
      </c>
      <c r="T340">
        <f t="shared" ref="T340:T403" si="19">(R340-$S$82)</f>
        <v>-7.9793814433088528E-2</v>
      </c>
      <c r="AC340">
        <v>258</v>
      </c>
      <c r="AD340">
        <v>7.69</v>
      </c>
      <c r="AF340">
        <f t="shared" si="18"/>
        <v>-0.11717525773198201</v>
      </c>
    </row>
    <row r="341" spans="1:32" x14ac:dyDescent="0.45">
      <c r="A341">
        <v>262</v>
      </c>
      <c r="B341">
        <v>22.12</v>
      </c>
      <c r="C341">
        <v>19.87</v>
      </c>
      <c r="Q341">
        <v>259</v>
      </c>
      <c r="R341">
        <v>57.44</v>
      </c>
      <c r="T341">
        <f t="shared" si="19"/>
        <v>-7.9793814433088528E-2</v>
      </c>
      <c r="AC341">
        <v>259</v>
      </c>
      <c r="AD341">
        <v>7.69</v>
      </c>
      <c r="AF341">
        <f t="shared" si="18"/>
        <v>-0.11717525773198201</v>
      </c>
    </row>
    <row r="342" spans="1:32" x14ac:dyDescent="0.45">
      <c r="A342">
        <v>263</v>
      </c>
      <c r="B342">
        <v>22.12</v>
      </c>
      <c r="C342">
        <v>19.940000000000001</v>
      </c>
      <c r="Q342">
        <v>260</v>
      </c>
      <c r="R342">
        <v>57.44</v>
      </c>
      <c r="T342">
        <f t="shared" si="19"/>
        <v>-7.9793814433088528E-2</v>
      </c>
      <c r="AC342">
        <v>260</v>
      </c>
      <c r="AD342">
        <v>7.69</v>
      </c>
      <c r="AF342">
        <f t="shared" si="18"/>
        <v>-0.11717525773198201</v>
      </c>
    </row>
    <row r="343" spans="1:32" x14ac:dyDescent="0.45">
      <c r="A343">
        <v>264</v>
      </c>
      <c r="B343">
        <v>22.12</v>
      </c>
      <c r="C343">
        <v>19.940000000000001</v>
      </c>
      <c r="Q343">
        <v>261</v>
      </c>
      <c r="R343">
        <v>57.44</v>
      </c>
      <c r="T343">
        <f t="shared" si="19"/>
        <v>-7.9793814433088528E-2</v>
      </c>
      <c r="AC343">
        <v>261</v>
      </c>
      <c r="AD343">
        <v>7.69</v>
      </c>
      <c r="AF343">
        <f t="shared" si="18"/>
        <v>-0.11717525773198201</v>
      </c>
    </row>
    <row r="344" spans="1:32" x14ac:dyDescent="0.45">
      <c r="A344">
        <v>265</v>
      </c>
      <c r="B344">
        <v>22.06</v>
      </c>
      <c r="C344">
        <v>19.940000000000001</v>
      </c>
      <c r="Q344">
        <v>262</v>
      </c>
      <c r="R344">
        <v>57.44</v>
      </c>
      <c r="T344">
        <f t="shared" si="19"/>
        <v>-7.9793814433088528E-2</v>
      </c>
      <c r="AC344">
        <v>262</v>
      </c>
      <c r="AD344">
        <v>7.69</v>
      </c>
      <c r="AF344">
        <f t="shared" si="18"/>
        <v>-0.11717525773198201</v>
      </c>
    </row>
    <row r="345" spans="1:32" x14ac:dyDescent="0.45">
      <c r="A345">
        <v>266</v>
      </c>
      <c r="B345">
        <v>22.12</v>
      </c>
      <c r="C345">
        <v>20</v>
      </c>
      <c r="Q345">
        <v>263</v>
      </c>
      <c r="R345">
        <v>57.44</v>
      </c>
      <c r="T345">
        <f t="shared" si="19"/>
        <v>-7.9793814433088528E-2</v>
      </c>
      <c r="AC345">
        <v>263</v>
      </c>
      <c r="AD345">
        <v>7.75</v>
      </c>
      <c r="AF345">
        <f t="shared" si="18"/>
        <v>-5.7175257731982398E-2</v>
      </c>
    </row>
    <row r="346" spans="1:32" x14ac:dyDescent="0.45">
      <c r="A346">
        <v>267</v>
      </c>
      <c r="B346">
        <v>22.12</v>
      </c>
      <c r="C346">
        <v>20</v>
      </c>
      <c r="Q346">
        <v>264</v>
      </c>
      <c r="R346">
        <v>57.5</v>
      </c>
      <c r="T346">
        <f t="shared" si="19"/>
        <v>-1.9793814433086254E-2</v>
      </c>
      <c r="AC346">
        <v>264</v>
      </c>
      <c r="AD346">
        <v>7.75</v>
      </c>
      <c r="AF346">
        <f t="shared" si="18"/>
        <v>-5.7175257731982398E-2</v>
      </c>
    </row>
    <row r="347" spans="1:32" x14ac:dyDescent="0.45">
      <c r="A347">
        <v>268</v>
      </c>
      <c r="B347">
        <v>22.12</v>
      </c>
      <c r="C347">
        <v>20.059999999999999</v>
      </c>
      <c r="Q347">
        <v>265</v>
      </c>
      <c r="R347">
        <v>57.5</v>
      </c>
      <c r="T347">
        <f t="shared" si="19"/>
        <v>-1.9793814433086254E-2</v>
      </c>
      <c r="AC347">
        <v>265</v>
      </c>
      <c r="AD347">
        <v>7.75</v>
      </c>
      <c r="AF347">
        <f t="shared" si="18"/>
        <v>-5.7175257731982398E-2</v>
      </c>
    </row>
    <row r="348" spans="1:32" x14ac:dyDescent="0.45">
      <c r="A348">
        <v>269</v>
      </c>
      <c r="B348">
        <v>22.06</v>
      </c>
      <c r="C348">
        <v>20.059999999999999</v>
      </c>
      <c r="Q348">
        <v>266</v>
      </c>
      <c r="R348">
        <v>57.5</v>
      </c>
      <c r="T348">
        <f t="shared" si="19"/>
        <v>-1.9793814433086254E-2</v>
      </c>
      <c r="AC348">
        <v>266</v>
      </c>
      <c r="AD348">
        <v>7.75</v>
      </c>
      <c r="AF348">
        <f t="shared" si="18"/>
        <v>-5.7175257731982398E-2</v>
      </c>
    </row>
    <row r="349" spans="1:32" x14ac:dyDescent="0.45">
      <c r="A349">
        <v>270</v>
      </c>
      <c r="B349">
        <v>22.06</v>
      </c>
      <c r="C349">
        <v>20.059999999999999</v>
      </c>
      <c r="Q349">
        <v>267</v>
      </c>
      <c r="R349">
        <v>57.5</v>
      </c>
      <c r="T349">
        <f t="shared" si="19"/>
        <v>-1.9793814433086254E-2</v>
      </c>
      <c r="AC349">
        <v>267</v>
      </c>
      <c r="AD349">
        <v>7.75</v>
      </c>
      <c r="AF349">
        <f t="shared" si="18"/>
        <v>-5.7175257731982398E-2</v>
      </c>
    </row>
    <row r="350" spans="1:32" x14ac:dyDescent="0.45">
      <c r="A350">
        <v>271</v>
      </c>
      <c r="B350">
        <v>22.06</v>
      </c>
      <c r="C350">
        <v>20.059999999999999</v>
      </c>
      <c r="Q350">
        <v>268</v>
      </c>
      <c r="R350">
        <v>57.5</v>
      </c>
      <c r="T350">
        <f t="shared" si="19"/>
        <v>-1.9793814433086254E-2</v>
      </c>
      <c r="AC350">
        <v>268</v>
      </c>
      <c r="AD350">
        <v>7.75</v>
      </c>
      <c r="AF350">
        <f t="shared" si="18"/>
        <v>-5.7175257731982398E-2</v>
      </c>
    </row>
    <row r="351" spans="1:32" x14ac:dyDescent="0.45">
      <c r="A351">
        <v>272</v>
      </c>
      <c r="B351">
        <v>22.12</v>
      </c>
      <c r="C351">
        <v>20.12</v>
      </c>
      <c r="Q351">
        <v>269</v>
      </c>
      <c r="R351">
        <v>57.5</v>
      </c>
      <c r="T351">
        <f t="shared" si="19"/>
        <v>-1.9793814433086254E-2</v>
      </c>
      <c r="AC351">
        <v>269</v>
      </c>
      <c r="AD351">
        <v>7.75</v>
      </c>
      <c r="AF351">
        <f t="shared" si="18"/>
        <v>-5.7175257731982398E-2</v>
      </c>
    </row>
    <row r="352" spans="1:32" x14ac:dyDescent="0.45">
      <c r="A352">
        <v>273</v>
      </c>
      <c r="B352">
        <v>22.12</v>
      </c>
      <c r="C352">
        <v>20.12</v>
      </c>
      <c r="Q352">
        <v>270</v>
      </c>
      <c r="R352">
        <v>57.44</v>
      </c>
      <c r="T352">
        <f t="shared" si="19"/>
        <v>-7.9793814433088528E-2</v>
      </c>
      <c r="AC352">
        <v>270</v>
      </c>
      <c r="AD352">
        <v>7.81</v>
      </c>
      <c r="AF352">
        <f t="shared" si="18"/>
        <v>2.8247422680172107E-3</v>
      </c>
    </row>
    <row r="353" spans="1:32" x14ac:dyDescent="0.45">
      <c r="A353">
        <v>274</v>
      </c>
      <c r="B353">
        <v>22.12</v>
      </c>
      <c r="C353">
        <v>20.12</v>
      </c>
      <c r="Q353">
        <v>271</v>
      </c>
      <c r="R353">
        <v>57.5</v>
      </c>
      <c r="T353">
        <f t="shared" si="19"/>
        <v>-1.9793814433086254E-2</v>
      </c>
      <c r="AC353">
        <v>271</v>
      </c>
      <c r="AD353">
        <v>7.81</v>
      </c>
      <c r="AF353">
        <f t="shared" si="18"/>
        <v>2.8247422680172107E-3</v>
      </c>
    </row>
    <row r="354" spans="1:32" x14ac:dyDescent="0.45">
      <c r="A354">
        <v>275</v>
      </c>
      <c r="B354">
        <v>22.12</v>
      </c>
      <c r="C354">
        <v>20.190000000000001</v>
      </c>
      <c r="Q354">
        <v>272</v>
      </c>
      <c r="R354">
        <v>57.5</v>
      </c>
      <c r="T354">
        <f t="shared" si="19"/>
        <v>-1.9793814433086254E-2</v>
      </c>
      <c r="AC354">
        <v>272</v>
      </c>
      <c r="AD354">
        <v>7.81</v>
      </c>
      <c r="AF354">
        <f t="shared" si="18"/>
        <v>2.8247422680172107E-3</v>
      </c>
    </row>
    <row r="355" spans="1:32" x14ac:dyDescent="0.45">
      <c r="A355">
        <v>276</v>
      </c>
      <c r="B355">
        <v>22.12</v>
      </c>
      <c r="C355">
        <v>20.190000000000001</v>
      </c>
      <c r="Q355">
        <v>273</v>
      </c>
      <c r="R355">
        <v>57.56</v>
      </c>
      <c r="T355">
        <f t="shared" si="19"/>
        <v>4.020618556691602E-2</v>
      </c>
      <c r="AC355">
        <v>273</v>
      </c>
      <c r="AD355">
        <v>7.81</v>
      </c>
      <c r="AF355">
        <f t="shared" si="18"/>
        <v>2.8247422680172107E-3</v>
      </c>
    </row>
    <row r="356" spans="1:32" x14ac:dyDescent="0.45">
      <c r="A356">
        <v>277</v>
      </c>
      <c r="B356">
        <v>22.19</v>
      </c>
      <c r="C356">
        <v>20.190000000000001</v>
      </c>
      <c r="Q356">
        <v>274</v>
      </c>
      <c r="R356">
        <v>57.56</v>
      </c>
      <c r="T356">
        <f t="shared" si="19"/>
        <v>4.020618556691602E-2</v>
      </c>
      <c r="AC356">
        <v>274</v>
      </c>
      <c r="AD356">
        <v>7.81</v>
      </c>
      <c r="AF356">
        <f t="shared" si="18"/>
        <v>2.8247422680172107E-3</v>
      </c>
    </row>
    <row r="357" spans="1:32" x14ac:dyDescent="0.45">
      <c r="A357">
        <v>278</v>
      </c>
      <c r="B357">
        <v>22.25</v>
      </c>
      <c r="C357">
        <v>20.25</v>
      </c>
      <c r="Q357">
        <v>275</v>
      </c>
      <c r="R357">
        <v>57.56</v>
      </c>
      <c r="T357">
        <f t="shared" si="19"/>
        <v>4.020618556691602E-2</v>
      </c>
      <c r="AC357">
        <v>275</v>
      </c>
      <c r="AD357">
        <v>7.75</v>
      </c>
      <c r="AF357">
        <f t="shared" si="18"/>
        <v>-5.7175257731982398E-2</v>
      </c>
    </row>
    <row r="358" spans="1:32" x14ac:dyDescent="0.45">
      <c r="A358">
        <v>279</v>
      </c>
      <c r="B358">
        <v>22.25</v>
      </c>
      <c r="C358">
        <v>20.25</v>
      </c>
      <c r="Q358">
        <v>276</v>
      </c>
      <c r="R358">
        <v>57.5</v>
      </c>
      <c r="T358">
        <f t="shared" si="19"/>
        <v>-1.9793814433086254E-2</v>
      </c>
      <c r="AC358">
        <v>276</v>
      </c>
      <c r="AD358">
        <v>7.75</v>
      </c>
      <c r="AF358">
        <f t="shared" si="18"/>
        <v>-5.7175257731982398E-2</v>
      </c>
    </row>
    <row r="359" spans="1:32" x14ac:dyDescent="0.45">
      <c r="A359">
        <v>280</v>
      </c>
      <c r="B359">
        <v>22.25</v>
      </c>
      <c r="C359">
        <v>20.309999999999999</v>
      </c>
      <c r="Q359">
        <v>277</v>
      </c>
      <c r="R359">
        <v>57.5</v>
      </c>
      <c r="T359">
        <f t="shared" si="19"/>
        <v>-1.9793814433086254E-2</v>
      </c>
      <c r="AC359">
        <v>277</v>
      </c>
      <c r="AD359">
        <v>7.75</v>
      </c>
      <c r="AF359">
        <f t="shared" si="18"/>
        <v>-5.7175257731982398E-2</v>
      </c>
    </row>
    <row r="360" spans="1:32" x14ac:dyDescent="0.45">
      <c r="A360">
        <v>281</v>
      </c>
      <c r="B360">
        <v>22.25</v>
      </c>
      <c r="C360">
        <v>20.309999999999999</v>
      </c>
      <c r="Q360">
        <v>278</v>
      </c>
      <c r="R360">
        <v>57.44</v>
      </c>
      <c r="T360">
        <f t="shared" si="19"/>
        <v>-7.9793814433088528E-2</v>
      </c>
      <c r="AC360">
        <v>278</v>
      </c>
      <c r="AD360">
        <v>7.75</v>
      </c>
      <c r="AF360">
        <f t="shared" si="18"/>
        <v>-5.7175257731982398E-2</v>
      </c>
    </row>
    <row r="361" spans="1:32" x14ac:dyDescent="0.45">
      <c r="A361">
        <v>282</v>
      </c>
      <c r="B361">
        <v>22.25</v>
      </c>
      <c r="C361">
        <v>20.309999999999999</v>
      </c>
      <c r="Q361">
        <v>279</v>
      </c>
      <c r="R361">
        <v>57.5</v>
      </c>
      <c r="T361">
        <f t="shared" si="19"/>
        <v>-1.9793814433086254E-2</v>
      </c>
      <c r="AC361">
        <v>279</v>
      </c>
      <c r="AD361">
        <v>7.75</v>
      </c>
      <c r="AF361">
        <f t="shared" si="18"/>
        <v>-5.7175257731982398E-2</v>
      </c>
    </row>
    <row r="362" spans="1:32" x14ac:dyDescent="0.45">
      <c r="A362">
        <v>283</v>
      </c>
      <c r="B362">
        <v>22.31</v>
      </c>
      <c r="C362">
        <v>20.309999999999999</v>
      </c>
      <c r="Q362">
        <v>280</v>
      </c>
      <c r="R362">
        <v>57.5</v>
      </c>
      <c r="T362">
        <f t="shared" si="19"/>
        <v>-1.9793814433086254E-2</v>
      </c>
      <c r="AC362">
        <v>280</v>
      </c>
      <c r="AD362">
        <v>7.81</v>
      </c>
      <c r="AF362">
        <f t="shared" si="18"/>
        <v>2.8247422680172107E-3</v>
      </c>
    </row>
    <row r="363" spans="1:32" x14ac:dyDescent="0.45">
      <c r="A363">
        <v>284</v>
      </c>
      <c r="B363">
        <v>22.31</v>
      </c>
      <c r="C363">
        <v>20.37</v>
      </c>
      <c r="Q363">
        <v>281</v>
      </c>
      <c r="R363">
        <v>57.5</v>
      </c>
      <c r="T363">
        <f t="shared" si="19"/>
        <v>-1.9793814433086254E-2</v>
      </c>
      <c r="AC363">
        <v>281</v>
      </c>
      <c r="AD363">
        <v>7.81</v>
      </c>
      <c r="AF363">
        <f t="shared" si="18"/>
        <v>2.8247422680172107E-3</v>
      </c>
    </row>
    <row r="364" spans="1:32" x14ac:dyDescent="0.45">
      <c r="A364">
        <v>285</v>
      </c>
      <c r="B364">
        <v>22.31</v>
      </c>
      <c r="C364">
        <v>20.37</v>
      </c>
      <c r="Q364">
        <v>282</v>
      </c>
      <c r="R364">
        <v>57.56</v>
      </c>
      <c r="T364">
        <f t="shared" si="19"/>
        <v>4.020618556691602E-2</v>
      </c>
      <c r="AC364">
        <v>282</v>
      </c>
      <c r="AD364">
        <v>7.75</v>
      </c>
      <c r="AF364">
        <f t="shared" si="18"/>
        <v>-5.7175257731982398E-2</v>
      </c>
    </row>
    <row r="365" spans="1:32" x14ac:dyDescent="0.45">
      <c r="A365">
        <v>286</v>
      </c>
      <c r="B365">
        <v>22.31</v>
      </c>
      <c r="C365">
        <v>20.37</v>
      </c>
      <c r="Q365">
        <v>283</v>
      </c>
      <c r="R365">
        <v>57.56</v>
      </c>
      <c r="T365">
        <f t="shared" si="19"/>
        <v>4.020618556691602E-2</v>
      </c>
      <c r="AC365">
        <v>283</v>
      </c>
      <c r="AD365">
        <v>7.75</v>
      </c>
      <c r="AF365">
        <f t="shared" si="18"/>
        <v>-5.7175257731982398E-2</v>
      </c>
    </row>
    <row r="366" spans="1:32" x14ac:dyDescent="0.45">
      <c r="A366">
        <v>287</v>
      </c>
      <c r="B366">
        <v>22.31</v>
      </c>
      <c r="C366">
        <v>20.440000000000001</v>
      </c>
      <c r="Q366">
        <v>284</v>
      </c>
      <c r="R366">
        <v>57.63</v>
      </c>
      <c r="T366">
        <f t="shared" si="19"/>
        <v>0.1102061855669163</v>
      </c>
      <c r="AC366">
        <v>284</v>
      </c>
      <c r="AD366">
        <v>7.81</v>
      </c>
      <c r="AF366">
        <f t="shared" si="18"/>
        <v>2.8247422680172107E-3</v>
      </c>
    </row>
    <row r="367" spans="1:32" x14ac:dyDescent="0.45">
      <c r="A367">
        <v>288</v>
      </c>
      <c r="B367">
        <v>22.31</v>
      </c>
      <c r="C367">
        <v>20.440000000000001</v>
      </c>
      <c r="Q367">
        <v>285</v>
      </c>
      <c r="R367">
        <v>57.63</v>
      </c>
      <c r="T367">
        <f t="shared" si="19"/>
        <v>0.1102061855669163</v>
      </c>
      <c r="AC367">
        <v>285</v>
      </c>
      <c r="AD367">
        <v>7.81</v>
      </c>
      <c r="AF367">
        <f t="shared" si="18"/>
        <v>2.8247422680172107E-3</v>
      </c>
    </row>
    <row r="368" spans="1:32" x14ac:dyDescent="0.45">
      <c r="A368">
        <v>289</v>
      </c>
      <c r="B368">
        <v>22.31</v>
      </c>
      <c r="C368">
        <v>20.440000000000001</v>
      </c>
      <c r="Q368">
        <v>286</v>
      </c>
      <c r="R368">
        <v>57.56</v>
      </c>
      <c r="T368">
        <f t="shared" si="19"/>
        <v>4.020618556691602E-2</v>
      </c>
      <c r="AC368">
        <v>286</v>
      </c>
      <c r="AD368">
        <v>7.81</v>
      </c>
      <c r="AF368">
        <f t="shared" si="18"/>
        <v>2.8247422680172107E-3</v>
      </c>
    </row>
    <row r="369" spans="1:32" x14ac:dyDescent="0.45">
      <c r="A369">
        <v>290</v>
      </c>
      <c r="B369">
        <v>22.25</v>
      </c>
      <c r="C369">
        <v>20.440000000000001</v>
      </c>
      <c r="Q369">
        <v>287</v>
      </c>
      <c r="R369">
        <v>57.63</v>
      </c>
      <c r="T369">
        <f t="shared" si="19"/>
        <v>0.1102061855669163</v>
      </c>
      <c r="AC369">
        <v>287</v>
      </c>
      <c r="AD369">
        <v>7.81</v>
      </c>
      <c r="AF369">
        <f t="shared" si="18"/>
        <v>2.8247422680172107E-3</v>
      </c>
    </row>
    <row r="370" spans="1:32" x14ac:dyDescent="0.45">
      <c r="A370">
        <v>291</v>
      </c>
      <c r="B370">
        <v>22.31</v>
      </c>
      <c r="C370">
        <v>20.5</v>
      </c>
      <c r="Q370">
        <v>288</v>
      </c>
      <c r="R370">
        <v>57.63</v>
      </c>
      <c r="T370">
        <f t="shared" si="19"/>
        <v>0.1102061855669163</v>
      </c>
      <c r="AC370">
        <v>288</v>
      </c>
      <c r="AD370">
        <v>7.81</v>
      </c>
      <c r="AF370">
        <f t="shared" si="18"/>
        <v>2.8247422680172107E-3</v>
      </c>
    </row>
    <row r="371" spans="1:32" x14ac:dyDescent="0.45">
      <c r="A371">
        <v>292</v>
      </c>
      <c r="B371">
        <v>22.25</v>
      </c>
      <c r="C371">
        <v>20.5</v>
      </c>
      <c r="Q371">
        <v>289</v>
      </c>
      <c r="R371">
        <v>57.63</v>
      </c>
      <c r="T371">
        <f t="shared" si="19"/>
        <v>0.1102061855669163</v>
      </c>
      <c r="AC371">
        <v>289</v>
      </c>
      <c r="AD371">
        <v>7.81</v>
      </c>
      <c r="AF371">
        <f t="shared" si="18"/>
        <v>2.8247422680172107E-3</v>
      </c>
    </row>
    <row r="372" spans="1:32" x14ac:dyDescent="0.45">
      <c r="A372">
        <v>293</v>
      </c>
      <c r="B372">
        <v>22.25</v>
      </c>
      <c r="C372">
        <v>20.5</v>
      </c>
      <c r="Q372">
        <v>290</v>
      </c>
      <c r="R372">
        <v>57.63</v>
      </c>
      <c r="T372">
        <f t="shared" si="19"/>
        <v>0.1102061855669163</v>
      </c>
      <c r="AC372">
        <v>290</v>
      </c>
      <c r="AD372">
        <v>7.81</v>
      </c>
      <c r="AF372">
        <f t="shared" si="18"/>
        <v>2.8247422680172107E-3</v>
      </c>
    </row>
    <row r="373" spans="1:32" x14ac:dyDescent="0.45">
      <c r="A373">
        <v>294</v>
      </c>
      <c r="B373">
        <v>22.25</v>
      </c>
      <c r="C373">
        <v>20.56</v>
      </c>
      <c r="Q373">
        <v>291</v>
      </c>
      <c r="R373">
        <v>57.56</v>
      </c>
      <c r="T373">
        <f t="shared" si="19"/>
        <v>4.020618556691602E-2</v>
      </c>
      <c r="AC373">
        <v>291</v>
      </c>
      <c r="AD373">
        <v>7.81</v>
      </c>
      <c r="AF373">
        <f t="shared" si="18"/>
        <v>2.8247422680172107E-3</v>
      </c>
    </row>
    <row r="374" spans="1:32" x14ac:dyDescent="0.45">
      <c r="A374">
        <v>295</v>
      </c>
      <c r="B374">
        <v>22.19</v>
      </c>
      <c r="C374">
        <v>20.56</v>
      </c>
      <c r="Q374">
        <v>292</v>
      </c>
      <c r="R374">
        <v>57.56</v>
      </c>
      <c r="T374">
        <f t="shared" si="19"/>
        <v>4.020618556691602E-2</v>
      </c>
      <c r="AC374">
        <v>292</v>
      </c>
      <c r="AD374">
        <v>7.81</v>
      </c>
      <c r="AF374">
        <f t="shared" si="18"/>
        <v>2.8247422680172107E-3</v>
      </c>
    </row>
    <row r="375" spans="1:32" x14ac:dyDescent="0.45">
      <c r="A375">
        <v>296</v>
      </c>
      <c r="B375">
        <v>22.19</v>
      </c>
      <c r="C375">
        <v>20.56</v>
      </c>
      <c r="Q375">
        <v>293</v>
      </c>
      <c r="R375">
        <v>57.56</v>
      </c>
      <c r="T375">
        <f t="shared" si="19"/>
        <v>4.020618556691602E-2</v>
      </c>
      <c r="AC375">
        <v>293</v>
      </c>
      <c r="AD375">
        <v>7.81</v>
      </c>
      <c r="AF375">
        <f t="shared" si="18"/>
        <v>2.8247422680172107E-3</v>
      </c>
    </row>
    <row r="376" spans="1:32" x14ac:dyDescent="0.45">
      <c r="A376">
        <v>297</v>
      </c>
      <c r="B376">
        <v>22.19</v>
      </c>
      <c r="C376">
        <v>20.62</v>
      </c>
      <c r="Q376">
        <v>294</v>
      </c>
      <c r="R376">
        <v>57.63</v>
      </c>
      <c r="T376">
        <f t="shared" si="19"/>
        <v>0.1102061855669163</v>
      </c>
      <c r="AC376">
        <v>294</v>
      </c>
      <c r="AD376">
        <v>7.81</v>
      </c>
      <c r="AF376">
        <f t="shared" si="18"/>
        <v>2.8247422680172107E-3</v>
      </c>
    </row>
    <row r="377" spans="1:32" x14ac:dyDescent="0.45">
      <c r="A377">
        <v>298</v>
      </c>
      <c r="B377">
        <v>22.12</v>
      </c>
      <c r="C377">
        <v>20.56</v>
      </c>
      <c r="Q377">
        <v>295</v>
      </c>
      <c r="R377">
        <v>57.63</v>
      </c>
      <c r="T377">
        <f t="shared" si="19"/>
        <v>0.1102061855669163</v>
      </c>
      <c r="AC377">
        <v>295</v>
      </c>
      <c r="AD377">
        <v>7.81</v>
      </c>
      <c r="AF377">
        <f t="shared" si="18"/>
        <v>2.8247422680172107E-3</v>
      </c>
    </row>
    <row r="378" spans="1:32" x14ac:dyDescent="0.45">
      <c r="A378">
        <v>299</v>
      </c>
      <c r="B378">
        <v>22.12</v>
      </c>
      <c r="C378">
        <v>20.62</v>
      </c>
      <c r="Q378">
        <v>296</v>
      </c>
      <c r="R378">
        <v>57.69</v>
      </c>
      <c r="T378">
        <f t="shared" si="19"/>
        <v>0.17020618556691147</v>
      </c>
      <c r="AC378">
        <v>296</v>
      </c>
      <c r="AD378">
        <v>7.81</v>
      </c>
      <c r="AF378">
        <f t="shared" si="18"/>
        <v>2.8247422680172107E-3</v>
      </c>
    </row>
    <row r="379" spans="1:32" x14ac:dyDescent="0.45">
      <c r="A379">
        <v>300</v>
      </c>
      <c r="B379">
        <v>22.12</v>
      </c>
      <c r="C379">
        <v>20.62</v>
      </c>
      <c r="Q379">
        <v>297</v>
      </c>
      <c r="R379">
        <v>57.69</v>
      </c>
      <c r="T379">
        <f t="shared" si="19"/>
        <v>0.17020618556691147</v>
      </c>
      <c r="AC379">
        <v>297</v>
      </c>
      <c r="AD379">
        <v>7.81</v>
      </c>
      <c r="AF379">
        <f t="shared" si="18"/>
        <v>2.8247422680172107E-3</v>
      </c>
    </row>
    <row r="380" spans="1:32" x14ac:dyDescent="0.45">
      <c r="A380">
        <v>301</v>
      </c>
      <c r="B380">
        <v>22.06</v>
      </c>
      <c r="C380">
        <v>20.69</v>
      </c>
      <c r="Q380">
        <v>298</v>
      </c>
      <c r="R380">
        <v>57.69</v>
      </c>
      <c r="T380">
        <f t="shared" si="19"/>
        <v>0.17020618556691147</v>
      </c>
      <c r="AC380">
        <v>298</v>
      </c>
      <c r="AD380">
        <v>7.81</v>
      </c>
      <c r="AF380">
        <f t="shared" si="18"/>
        <v>2.8247422680172107E-3</v>
      </c>
    </row>
    <row r="381" spans="1:32" x14ac:dyDescent="0.45">
      <c r="A381">
        <v>302</v>
      </c>
      <c r="B381">
        <v>22.06</v>
      </c>
      <c r="C381">
        <v>20.69</v>
      </c>
      <c r="Q381">
        <v>299</v>
      </c>
      <c r="R381">
        <v>57.63</v>
      </c>
      <c r="T381">
        <f t="shared" si="19"/>
        <v>0.1102061855669163</v>
      </c>
      <c r="AC381">
        <v>299</v>
      </c>
      <c r="AD381">
        <v>7.81</v>
      </c>
      <c r="AF381">
        <f t="shared" si="18"/>
        <v>2.8247422680172107E-3</v>
      </c>
    </row>
    <row r="382" spans="1:32" x14ac:dyDescent="0.45">
      <c r="A382">
        <v>303</v>
      </c>
      <c r="B382">
        <v>22.06</v>
      </c>
      <c r="C382">
        <v>20.69</v>
      </c>
      <c r="Q382">
        <v>300</v>
      </c>
      <c r="R382">
        <v>57.63</v>
      </c>
      <c r="T382">
        <f t="shared" si="19"/>
        <v>0.1102061855669163</v>
      </c>
      <c r="AC382">
        <v>300</v>
      </c>
      <c r="AD382">
        <v>7.75</v>
      </c>
      <c r="AF382">
        <f t="shared" si="18"/>
        <v>-5.7175257731982398E-2</v>
      </c>
    </row>
    <row r="383" spans="1:32" x14ac:dyDescent="0.45">
      <c r="A383">
        <v>304</v>
      </c>
      <c r="B383">
        <v>22.06</v>
      </c>
      <c r="C383">
        <v>20.69</v>
      </c>
      <c r="Q383">
        <v>301</v>
      </c>
      <c r="R383">
        <v>57.63</v>
      </c>
      <c r="T383">
        <f t="shared" si="19"/>
        <v>0.1102061855669163</v>
      </c>
      <c r="AC383">
        <v>301</v>
      </c>
      <c r="AD383">
        <v>7.81</v>
      </c>
      <c r="AF383">
        <f t="shared" si="18"/>
        <v>2.8247422680172107E-3</v>
      </c>
    </row>
    <row r="384" spans="1:32" x14ac:dyDescent="0.45">
      <c r="A384">
        <v>305</v>
      </c>
      <c r="B384">
        <v>22.06</v>
      </c>
      <c r="C384">
        <v>20.69</v>
      </c>
      <c r="Q384">
        <v>302</v>
      </c>
      <c r="R384">
        <v>57.63</v>
      </c>
      <c r="T384">
        <f t="shared" si="19"/>
        <v>0.1102061855669163</v>
      </c>
      <c r="AC384">
        <v>302</v>
      </c>
      <c r="AD384">
        <v>7.81</v>
      </c>
      <c r="AF384">
        <f t="shared" si="18"/>
        <v>2.8247422680172107E-3</v>
      </c>
    </row>
    <row r="385" spans="1:32" x14ac:dyDescent="0.45">
      <c r="A385">
        <v>306</v>
      </c>
      <c r="B385">
        <v>22.06</v>
      </c>
      <c r="C385">
        <v>20.75</v>
      </c>
      <c r="Q385">
        <v>303</v>
      </c>
      <c r="R385">
        <v>57.63</v>
      </c>
      <c r="T385">
        <f t="shared" si="19"/>
        <v>0.1102061855669163</v>
      </c>
      <c r="AC385">
        <v>303</v>
      </c>
      <c r="AD385">
        <v>7.81</v>
      </c>
      <c r="AF385">
        <f t="shared" si="18"/>
        <v>2.8247422680172107E-3</v>
      </c>
    </row>
    <row r="386" spans="1:32" x14ac:dyDescent="0.45">
      <c r="A386">
        <v>307</v>
      </c>
      <c r="B386">
        <v>22.06</v>
      </c>
      <c r="C386">
        <v>20.75</v>
      </c>
      <c r="Q386">
        <v>304</v>
      </c>
      <c r="R386">
        <v>57.63</v>
      </c>
      <c r="T386">
        <f t="shared" si="19"/>
        <v>0.1102061855669163</v>
      </c>
      <c r="AC386">
        <v>304</v>
      </c>
      <c r="AD386">
        <v>7.81</v>
      </c>
      <c r="AF386">
        <f t="shared" si="18"/>
        <v>2.8247422680172107E-3</v>
      </c>
    </row>
    <row r="387" spans="1:32" x14ac:dyDescent="0.45">
      <c r="A387">
        <v>308</v>
      </c>
      <c r="B387">
        <v>22</v>
      </c>
      <c r="C387">
        <v>20.75</v>
      </c>
      <c r="Q387">
        <v>305</v>
      </c>
      <c r="R387">
        <v>57.56</v>
      </c>
      <c r="T387">
        <f t="shared" si="19"/>
        <v>4.020618556691602E-2</v>
      </c>
      <c r="AC387">
        <v>305</v>
      </c>
      <c r="AD387">
        <v>7.81</v>
      </c>
      <c r="AF387">
        <f t="shared" si="18"/>
        <v>2.8247422680172107E-3</v>
      </c>
    </row>
    <row r="388" spans="1:32" x14ac:dyDescent="0.45">
      <c r="A388">
        <v>309</v>
      </c>
      <c r="B388">
        <v>22.06</v>
      </c>
      <c r="C388">
        <v>20.75</v>
      </c>
      <c r="Q388">
        <v>306</v>
      </c>
      <c r="R388">
        <v>57.56</v>
      </c>
      <c r="T388">
        <f t="shared" si="19"/>
        <v>4.020618556691602E-2</v>
      </c>
      <c r="AC388">
        <v>306</v>
      </c>
      <c r="AD388">
        <v>7.75</v>
      </c>
      <c r="AF388">
        <f t="shared" si="18"/>
        <v>-5.7175257731982398E-2</v>
      </c>
    </row>
    <row r="389" spans="1:32" x14ac:dyDescent="0.45">
      <c r="A389">
        <v>310</v>
      </c>
      <c r="B389">
        <v>22.06</v>
      </c>
      <c r="C389">
        <v>20.81</v>
      </c>
      <c r="Q389">
        <v>307</v>
      </c>
      <c r="R389">
        <v>57.56</v>
      </c>
      <c r="T389">
        <f t="shared" si="19"/>
        <v>4.020618556691602E-2</v>
      </c>
      <c r="AC389">
        <v>307</v>
      </c>
      <c r="AD389">
        <v>7.75</v>
      </c>
      <c r="AF389">
        <f t="shared" si="18"/>
        <v>-5.7175257731982398E-2</v>
      </c>
    </row>
    <row r="390" spans="1:32" x14ac:dyDescent="0.45">
      <c r="A390">
        <v>311</v>
      </c>
      <c r="B390">
        <v>22.06</v>
      </c>
      <c r="C390">
        <v>20.81</v>
      </c>
      <c r="Q390">
        <v>308</v>
      </c>
      <c r="R390">
        <v>57.63</v>
      </c>
      <c r="T390">
        <f t="shared" si="19"/>
        <v>0.1102061855669163</v>
      </c>
      <c r="AC390">
        <v>308</v>
      </c>
      <c r="AD390">
        <v>7.75</v>
      </c>
      <c r="AF390">
        <f t="shared" si="18"/>
        <v>-5.7175257731982398E-2</v>
      </c>
    </row>
    <row r="391" spans="1:32" x14ac:dyDescent="0.45">
      <c r="A391">
        <v>312</v>
      </c>
      <c r="B391">
        <v>22</v>
      </c>
      <c r="C391">
        <v>20.81</v>
      </c>
      <c r="Q391">
        <v>309</v>
      </c>
      <c r="R391">
        <v>57.63</v>
      </c>
      <c r="T391">
        <f t="shared" si="19"/>
        <v>0.1102061855669163</v>
      </c>
      <c r="AC391">
        <v>309</v>
      </c>
      <c r="AD391">
        <v>7.75</v>
      </c>
      <c r="AF391">
        <f t="shared" si="18"/>
        <v>-5.7175257731982398E-2</v>
      </c>
    </row>
    <row r="392" spans="1:32" x14ac:dyDescent="0.45">
      <c r="A392">
        <v>313</v>
      </c>
      <c r="B392">
        <v>22.06</v>
      </c>
      <c r="C392">
        <v>20.81</v>
      </c>
      <c r="Q392">
        <v>310</v>
      </c>
      <c r="R392">
        <v>57.63</v>
      </c>
      <c r="T392">
        <f t="shared" si="19"/>
        <v>0.1102061855669163</v>
      </c>
      <c r="AC392">
        <v>310</v>
      </c>
      <c r="AD392">
        <v>7.75</v>
      </c>
      <c r="AF392">
        <f t="shared" si="18"/>
        <v>-5.7175257731982398E-2</v>
      </c>
    </row>
    <row r="393" spans="1:32" x14ac:dyDescent="0.45">
      <c r="A393">
        <v>314</v>
      </c>
      <c r="B393">
        <v>22</v>
      </c>
      <c r="C393">
        <v>20.81</v>
      </c>
      <c r="Q393">
        <v>311</v>
      </c>
      <c r="R393">
        <v>57.63</v>
      </c>
      <c r="T393">
        <f t="shared" si="19"/>
        <v>0.1102061855669163</v>
      </c>
      <c r="AC393">
        <v>311</v>
      </c>
      <c r="AD393">
        <v>7.75</v>
      </c>
      <c r="AF393">
        <f t="shared" si="18"/>
        <v>-5.7175257731982398E-2</v>
      </c>
    </row>
    <row r="394" spans="1:32" x14ac:dyDescent="0.45">
      <c r="A394">
        <v>315</v>
      </c>
      <c r="B394">
        <v>22.06</v>
      </c>
      <c r="C394">
        <v>20.87</v>
      </c>
      <c r="Q394">
        <v>312</v>
      </c>
      <c r="R394">
        <v>57.63</v>
      </c>
      <c r="T394">
        <f t="shared" si="19"/>
        <v>0.1102061855669163</v>
      </c>
      <c r="AC394">
        <v>312</v>
      </c>
      <c r="AD394">
        <v>7.81</v>
      </c>
      <c r="AF394">
        <f t="shared" si="18"/>
        <v>2.8247422680172107E-3</v>
      </c>
    </row>
    <row r="395" spans="1:32" x14ac:dyDescent="0.45">
      <c r="A395">
        <v>316</v>
      </c>
      <c r="B395">
        <v>22.06</v>
      </c>
      <c r="C395">
        <v>20.87</v>
      </c>
      <c r="Q395">
        <v>313</v>
      </c>
      <c r="R395">
        <v>57.63</v>
      </c>
      <c r="T395">
        <f t="shared" si="19"/>
        <v>0.1102061855669163</v>
      </c>
      <c r="AC395">
        <v>313</v>
      </c>
      <c r="AD395">
        <v>7.81</v>
      </c>
      <c r="AF395">
        <f t="shared" si="18"/>
        <v>2.8247422680172107E-3</v>
      </c>
    </row>
    <row r="396" spans="1:32" x14ac:dyDescent="0.45">
      <c r="A396">
        <v>317</v>
      </c>
      <c r="B396">
        <v>22</v>
      </c>
      <c r="C396">
        <v>20.87</v>
      </c>
      <c r="Q396">
        <v>314</v>
      </c>
      <c r="R396">
        <v>57.63</v>
      </c>
      <c r="T396">
        <f t="shared" si="19"/>
        <v>0.1102061855669163</v>
      </c>
      <c r="AC396">
        <v>314</v>
      </c>
      <c r="AD396">
        <v>7.81</v>
      </c>
      <c r="AF396">
        <f t="shared" si="18"/>
        <v>2.8247422680172107E-3</v>
      </c>
    </row>
    <row r="397" spans="1:32" x14ac:dyDescent="0.45">
      <c r="A397">
        <v>318</v>
      </c>
      <c r="B397">
        <v>22.06</v>
      </c>
      <c r="C397">
        <v>20.94</v>
      </c>
      <c r="Q397">
        <v>315</v>
      </c>
      <c r="R397">
        <v>57.69</v>
      </c>
      <c r="T397">
        <f t="shared" si="19"/>
        <v>0.17020618556691147</v>
      </c>
      <c r="AC397">
        <v>315</v>
      </c>
      <c r="AD397">
        <v>7.81</v>
      </c>
      <c r="AF397">
        <f t="shared" si="18"/>
        <v>2.8247422680172107E-3</v>
      </c>
    </row>
    <row r="398" spans="1:32" x14ac:dyDescent="0.45">
      <c r="A398">
        <v>319</v>
      </c>
      <c r="B398">
        <v>22</v>
      </c>
      <c r="C398">
        <v>20.94</v>
      </c>
      <c r="Q398">
        <v>316</v>
      </c>
      <c r="R398">
        <v>57.63</v>
      </c>
      <c r="T398">
        <f t="shared" si="19"/>
        <v>0.1102061855669163</v>
      </c>
      <c r="AC398">
        <v>316</v>
      </c>
      <c r="AD398">
        <v>7.81</v>
      </c>
      <c r="AF398">
        <f t="shared" si="18"/>
        <v>2.8247422680172107E-3</v>
      </c>
    </row>
    <row r="399" spans="1:32" x14ac:dyDescent="0.45">
      <c r="A399">
        <v>320</v>
      </c>
      <c r="B399">
        <v>22</v>
      </c>
      <c r="C399">
        <v>20.94</v>
      </c>
      <c r="Q399">
        <v>317</v>
      </c>
      <c r="R399">
        <v>57.63</v>
      </c>
      <c r="T399">
        <f t="shared" si="19"/>
        <v>0.1102061855669163</v>
      </c>
      <c r="AC399">
        <v>317</v>
      </c>
      <c r="AD399">
        <v>7.81</v>
      </c>
      <c r="AF399">
        <f t="shared" si="18"/>
        <v>2.8247422680172107E-3</v>
      </c>
    </row>
    <row r="400" spans="1:32" x14ac:dyDescent="0.45">
      <c r="A400">
        <v>321</v>
      </c>
      <c r="B400">
        <v>22</v>
      </c>
      <c r="C400">
        <v>20.94</v>
      </c>
      <c r="Q400">
        <v>318</v>
      </c>
      <c r="R400">
        <v>57.63</v>
      </c>
      <c r="T400">
        <f t="shared" si="19"/>
        <v>0.1102061855669163</v>
      </c>
      <c r="AC400">
        <v>318</v>
      </c>
      <c r="AD400">
        <v>7.81</v>
      </c>
      <c r="AF400">
        <f t="shared" si="18"/>
        <v>2.8247422680172107E-3</v>
      </c>
    </row>
    <row r="401" spans="1:32" x14ac:dyDescent="0.45">
      <c r="A401">
        <v>322</v>
      </c>
      <c r="B401">
        <v>22</v>
      </c>
      <c r="C401">
        <v>20.94</v>
      </c>
      <c r="Q401">
        <v>319</v>
      </c>
      <c r="R401">
        <v>57.63</v>
      </c>
      <c r="T401">
        <f t="shared" si="19"/>
        <v>0.1102061855669163</v>
      </c>
      <c r="AC401">
        <v>319</v>
      </c>
      <c r="AD401">
        <v>7.81</v>
      </c>
      <c r="AF401">
        <f t="shared" si="18"/>
        <v>2.8247422680172107E-3</v>
      </c>
    </row>
    <row r="402" spans="1:32" x14ac:dyDescent="0.45">
      <c r="A402">
        <v>323</v>
      </c>
      <c r="B402">
        <v>22</v>
      </c>
      <c r="C402">
        <v>21</v>
      </c>
      <c r="Q402">
        <v>320</v>
      </c>
      <c r="R402">
        <v>57.63</v>
      </c>
      <c r="T402">
        <f t="shared" si="19"/>
        <v>0.1102061855669163</v>
      </c>
      <c r="AC402">
        <v>320</v>
      </c>
      <c r="AD402">
        <v>7.81</v>
      </c>
      <c r="AF402">
        <f t="shared" si="18"/>
        <v>2.8247422680172107E-3</v>
      </c>
    </row>
    <row r="403" spans="1:32" x14ac:dyDescent="0.45">
      <c r="A403">
        <v>324</v>
      </c>
      <c r="B403">
        <v>22</v>
      </c>
      <c r="C403">
        <v>21</v>
      </c>
      <c r="Q403">
        <v>321</v>
      </c>
      <c r="R403">
        <v>57.63</v>
      </c>
      <c r="T403">
        <f t="shared" si="19"/>
        <v>0.1102061855669163</v>
      </c>
      <c r="AC403">
        <v>321</v>
      </c>
      <c r="AD403">
        <v>7.81</v>
      </c>
      <c r="AF403">
        <f t="shared" ref="AF403:AF466" si="20">(AD403-$AE$82)</f>
        <v>2.8247422680172107E-3</v>
      </c>
    </row>
    <row r="404" spans="1:32" x14ac:dyDescent="0.45">
      <c r="A404">
        <v>325</v>
      </c>
      <c r="B404" t="s">
        <v>7</v>
      </c>
      <c r="Q404">
        <v>322</v>
      </c>
      <c r="R404">
        <v>57.69</v>
      </c>
      <c r="T404">
        <f t="shared" ref="T404:T467" si="21">(R404-$S$82)</f>
        <v>0.17020618556691147</v>
      </c>
      <c r="AC404">
        <v>322</v>
      </c>
      <c r="AD404">
        <v>7.88</v>
      </c>
      <c r="AF404">
        <f t="shared" si="20"/>
        <v>7.2824742268017495E-2</v>
      </c>
    </row>
    <row r="405" spans="1:32" x14ac:dyDescent="0.45">
      <c r="A405">
        <v>326</v>
      </c>
      <c r="Q405">
        <v>323</v>
      </c>
      <c r="R405">
        <v>57.75</v>
      </c>
      <c r="T405">
        <f t="shared" si="21"/>
        <v>0.23020618556691375</v>
      </c>
      <c r="AC405">
        <v>323</v>
      </c>
      <c r="AD405">
        <v>7.88</v>
      </c>
      <c r="AF405">
        <f t="shared" si="20"/>
        <v>7.2824742268017495E-2</v>
      </c>
    </row>
    <row r="406" spans="1:32" x14ac:dyDescent="0.45">
      <c r="A406">
        <v>327</v>
      </c>
      <c r="Q406">
        <v>324</v>
      </c>
      <c r="R406">
        <v>57.81</v>
      </c>
      <c r="T406">
        <f t="shared" si="21"/>
        <v>0.29020618556691602</v>
      </c>
      <c r="AC406">
        <v>324</v>
      </c>
      <c r="AD406">
        <v>7.88</v>
      </c>
      <c r="AF406">
        <f t="shared" si="20"/>
        <v>7.2824742268017495E-2</v>
      </c>
    </row>
    <row r="407" spans="1:32" x14ac:dyDescent="0.45">
      <c r="A407">
        <v>328</v>
      </c>
      <c r="Q407">
        <v>325</v>
      </c>
      <c r="R407">
        <v>57.81</v>
      </c>
      <c r="T407">
        <f t="shared" si="21"/>
        <v>0.29020618556691602</v>
      </c>
      <c r="AC407">
        <v>325</v>
      </c>
      <c r="AD407">
        <v>7.88</v>
      </c>
      <c r="AF407">
        <f t="shared" si="20"/>
        <v>7.2824742268017495E-2</v>
      </c>
    </row>
    <row r="408" spans="1:32" x14ac:dyDescent="0.45">
      <c r="A408">
        <v>329</v>
      </c>
      <c r="Q408">
        <v>326</v>
      </c>
      <c r="R408">
        <v>57.81</v>
      </c>
      <c r="T408">
        <f t="shared" si="21"/>
        <v>0.29020618556691602</v>
      </c>
      <c r="AC408">
        <v>326</v>
      </c>
      <c r="AD408">
        <v>7.88</v>
      </c>
      <c r="AF408">
        <f t="shared" si="20"/>
        <v>7.2824742268017495E-2</v>
      </c>
    </row>
    <row r="409" spans="1:32" x14ac:dyDescent="0.45">
      <c r="A409">
        <v>330</v>
      </c>
      <c r="Q409">
        <v>327</v>
      </c>
      <c r="R409">
        <v>57.81</v>
      </c>
      <c r="T409">
        <f t="shared" si="21"/>
        <v>0.29020618556691602</v>
      </c>
      <c r="AC409">
        <v>327</v>
      </c>
      <c r="AD409">
        <v>7.88</v>
      </c>
      <c r="AF409">
        <f t="shared" si="20"/>
        <v>7.2824742268017495E-2</v>
      </c>
    </row>
    <row r="410" spans="1:32" x14ac:dyDescent="0.45">
      <c r="A410">
        <v>331</v>
      </c>
      <c r="Q410">
        <v>328</v>
      </c>
      <c r="R410">
        <v>57.81</v>
      </c>
      <c r="T410">
        <f t="shared" si="21"/>
        <v>0.29020618556691602</v>
      </c>
      <c r="AC410">
        <v>328</v>
      </c>
      <c r="AD410">
        <v>7.88</v>
      </c>
      <c r="AF410">
        <f t="shared" si="20"/>
        <v>7.2824742268017495E-2</v>
      </c>
    </row>
    <row r="411" spans="1:32" x14ac:dyDescent="0.45">
      <c r="A411">
        <v>332</v>
      </c>
      <c r="Q411">
        <v>329</v>
      </c>
      <c r="R411">
        <v>57.81</v>
      </c>
      <c r="T411">
        <f t="shared" si="21"/>
        <v>0.29020618556691602</v>
      </c>
      <c r="AC411">
        <v>329</v>
      </c>
      <c r="AD411">
        <v>7.81</v>
      </c>
      <c r="AF411">
        <f t="shared" si="20"/>
        <v>2.8247422680172107E-3</v>
      </c>
    </row>
    <row r="412" spans="1:32" x14ac:dyDescent="0.45">
      <c r="A412">
        <v>333</v>
      </c>
      <c r="Q412">
        <v>330</v>
      </c>
      <c r="R412">
        <v>57.88</v>
      </c>
      <c r="T412">
        <f t="shared" si="21"/>
        <v>0.3602061855669163</v>
      </c>
      <c r="AC412">
        <v>330</v>
      </c>
      <c r="AD412">
        <v>7.81</v>
      </c>
      <c r="AF412">
        <f t="shared" si="20"/>
        <v>2.8247422680172107E-3</v>
      </c>
    </row>
    <row r="413" spans="1:32" x14ac:dyDescent="0.45">
      <c r="A413">
        <v>334</v>
      </c>
      <c r="Q413">
        <v>331</v>
      </c>
      <c r="R413">
        <v>57.88</v>
      </c>
      <c r="T413">
        <f t="shared" si="21"/>
        <v>0.3602061855669163</v>
      </c>
      <c r="AC413">
        <v>331</v>
      </c>
      <c r="AD413">
        <v>7.81</v>
      </c>
      <c r="AF413">
        <f t="shared" si="20"/>
        <v>2.8247422680172107E-3</v>
      </c>
    </row>
    <row r="414" spans="1:32" x14ac:dyDescent="0.45">
      <c r="A414">
        <v>335</v>
      </c>
      <c r="Q414">
        <v>332</v>
      </c>
      <c r="R414">
        <v>57.94</v>
      </c>
      <c r="T414">
        <f t="shared" si="21"/>
        <v>0.42020618556691147</v>
      </c>
      <c r="AC414">
        <v>332</v>
      </c>
      <c r="AD414">
        <v>7.81</v>
      </c>
      <c r="AF414">
        <f t="shared" si="20"/>
        <v>2.8247422680172107E-3</v>
      </c>
    </row>
    <row r="415" spans="1:32" x14ac:dyDescent="0.45">
      <c r="A415">
        <v>336</v>
      </c>
      <c r="Q415">
        <v>333</v>
      </c>
      <c r="R415">
        <v>57.94</v>
      </c>
      <c r="T415">
        <f t="shared" si="21"/>
        <v>0.42020618556691147</v>
      </c>
      <c r="AC415">
        <v>333</v>
      </c>
      <c r="AD415">
        <v>7.81</v>
      </c>
      <c r="AF415">
        <f t="shared" si="20"/>
        <v>2.8247422680172107E-3</v>
      </c>
    </row>
    <row r="416" spans="1:32" x14ac:dyDescent="0.45">
      <c r="A416">
        <v>337</v>
      </c>
      <c r="Q416">
        <v>334</v>
      </c>
      <c r="R416">
        <v>57.94</v>
      </c>
      <c r="T416">
        <f t="shared" si="21"/>
        <v>0.42020618556691147</v>
      </c>
      <c r="AC416">
        <v>334</v>
      </c>
      <c r="AD416">
        <v>7.81</v>
      </c>
      <c r="AF416">
        <f t="shared" si="20"/>
        <v>2.8247422680172107E-3</v>
      </c>
    </row>
    <row r="417" spans="1:32" x14ac:dyDescent="0.45">
      <c r="A417">
        <v>338</v>
      </c>
      <c r="Q417">
        <v>335</v>
      </c>
      <c r="R417">
        <v>58</v>
      </c>
      <c r="T417">
        <f t="shared" si="21"/>
        <v>0.48020618556691375</v>
      </c>
      <c r="AC417">
        <v>335</v>
      </c>
      <c r="AD417">
        <v>7.81</v>
      </c>
      <c r="AF417">
        <f t="shared" si="20"/>
        <v>2.8247422680172107E-3</v>
      </c>
    </row>
    <row r="418" spans="1:32" x14ac:dyDescent="0.45">
      <c r="A418">
        <v>339</v>
      </c>
      <c r="Q418">
        <v>336</v>
      </c>
      <c r="R418">
        <v>58</v>
      </c>
      <c r="T418">
        <f t="shared" si="21"/>
        <v>0.48020618556691375</v>
      </c>
      <c r="AC418">
        <v>336</v>
      </c>
      <c r="AD418">
        <v>7.81</v>
      </c>
      <c r="AF418">
        <f t="shared" si="20"/>
        <v>2.8247422680172107E-3</v>
      </c>
    </row>
    <row r="419" spans="1:32" x14ac:dyDescent="0.45">
      <c r="A419">
        <v>340</v>
      </c>
      <c r="Q419">
        <v>337</v>
      </c>
      <c r="R419">
        <v>58</v>
      </c>
      <c r="T419">
        <f t="shared" si="21"/>
        <v>0.48020618556691375</v>
      </c>
      <c r="AC419">
        <v>337</v>
      </c>
      <c r="AD419">
        <v>7.81</v>
      </c>
      <c r="AF419">
        <f t="shared" si="20"/>
        <v>2.8247422680172107E-3</v>
      </c>
    </row>
    <row r="420" spans="1:32" x14ac:dyDescent="0.45">
      <c r="A420">
        <v>341</v>
      </c>
      <c r="Q420">
        <v>338</v>
      </c>
      <c r="R420">
        <v>58</v>
      </c>
      <c r="T420">
        <f t="shared" si="21"/>
        <v>0.48020618556691375</v>
      </c>
      <c r="AC420">
        <v>338</v>
      </c>
      <c r="AD420">
        <v>7.81</v>
      </c>
      <c r="AF420">
        <f t="shared" si="20"/>
        <v>2.8247422680172107E-3</v>
      </c>
    </row>
    <row r="421" spans="1:32" x14ac:dyDescent="0.45">
      <c r="A421">
        <v>342</v>
      </c>
      <c r="Q421">
        <v>339</v>
      </c>
      <c r="R421">
        <v>57.94</v>
      </c>
      <c r="T421">
        <f t="shared" si="21"/>
        <v>0.42020618556691147</v>
      </c>
      <c r="AC421">
        <v>339</v>
      </c>
      <c r="AD421">
        <v>7.81</v>
      </c>
      <c r="AF421">
        <f t="shared" si="20"/>
        <v>2.8247422680172107E-3</v>
      </c>
    </row>
    <row r="422" spans="1:32" x14ac:dyDescent="0.45">
      <c r="A422">
        <v>343</v>
      </c>
      <c r="Q422">
        <v>340</v>
      </c>
      <c r="R422">
        <v>57.94</v>
      </c>
      <c r="T422">
        <f t="shared" si="21"/>
        <v>0.42020618556691147</v>
      </c>
      <c r="AC422">
        <v>340</v>
      </c>
      <c r="AD422">
        <v>7.81</v>
      </c>
      <c r="AF422">
        <f t="shared" si="20"/>
        <v>2.8247422680172107E-3</v>
      </c>
    </row>
    <row r="423" spans="1:32" x14ac:dyDescent="0.45">
      <c r="A423">
        <v>344</v>
      </c>
      <c r="Q423">
        <v>341</v>
      </c>
      <c r="R423">
        <v>57.94</v>
      </c>
      <c r="T423">
        <f t="shared" si="21"/>
        <v>0.42020618556691147</v>
      </c>
      <c r="AC423">
        <v>341</v>
      </c>
      <c r="AD423">
        <v>7.81</v>
      </c>
      <c r="AF423">
        <f t="shared" si="20"/>
        <v>2.8247422680172107E-3</v>
      </c>
    </row>
    <row r="424" spans="1:32" x14ac:dyDescent="0.45">
      <c r="A424">
        <v>345</v>
      </c>
      <c r="Q424">
        <v>342</v>
      </c>
      <c r="R424">
        <v>57.88</v>
      </c>
      <c r="T424">
        <f t="shared" si="21"/>
        <v>0.3602061855669163</v>
      </c>
      <c r="AC424">
        <v>342</v>
      </c>
      <c r="AD424">
        <v>7.81</v>
      </c>
      <c r="AF424">
        <f t="shared" si="20"/>
        <v>2.8247422680172107E-3</v>
      </c>
    </row>
    <row r="425" spans="1:32" x14ac:dyDescent="0.45">
      <c r="A425">
        <v>346</v>
      </c>
      <c r="Q425">
        <v>343</v>
      </c>
      <c r="R425">
        <v>57.94</v>
      </c>
      <c r="T425">
        <f t="shared" si="21"/>
        <v>0.42020618556691147</v>
      </c>
      <c r="AC425">
        <v>343</v>
      </c>
      <c r="AD425">
        <v>7.81</v>
      </c>
      <c r="AF425">
        <f t="shared" si="20"/>
        <v>2.8247422680172107E-3</v>
      </c>
    </row>
    <row r="426" spans="1:32" x14ac:dyDescent="0.45">
      <c r="A426">
        <v>347</v>
      </c>
      <c r="Q426">
        <v>344</v>
      </c>
      <c r="R426">
        <v>57.94</v>
      </c>
      <c r="T426">
        <f t="shared" si="21"/>
        <v>0.42020618556691147</v>
      </c>
      <c r="AC426">
        <v>344</v>
      </c>
      <c r="AD426">
        <v>7.81</v>
      </c>
      <c r="AF426">
        <f t="shared" si="20"/>
        <v>2.8247422680172107E-3</v>
      </c>
    </row>
    <row r="427" spans="1:32" x14ac:dyDescent="0.45">
      <c r="A427">
        <v>348</v>
      </c>
      <c r="Q427">
        <v>345</v>
      </c>
      <c r="R427">
        <v>57.94</v>
      </c>
      <c r="T427">
        <f t="shared" si="21"/>
        <v>0.42020618556691147</v>
      </c>
      <c r="AC427">
        <v>345</v>
      </c>
      <c r="AD427">
        <v>7.88</v>
      </c>
      <c r="AF427">
        <f t="shared" si="20"/>
        <v>7.2824742268017495E-2</v>
      </c>
    </row>
    <row r="428" spans="1:32" x14ac:dyDescent="0.45">
      <c r="A428">
        <v>349</v>
      </c>
      <c r="Q428">
        <v>346</v>
      </c>
      <c r="R428">
        <v>57.94</v>
      </c>
      <c r="T428">
        <f t="shared" si="21"/>
        <v>0.42020618556691147</v>
      </c>
      <c r="AC428">
        <v>346</v>
      </c>
      <c r="AD428">
        <v>7.88</v>
      </c>
      <c r="AF428">
        <f t="shared" si="20"/>
        <v>7.2824742268017495E-2</v>
      </c>
    </row>
    <row r="429" spans="1:32" x14ac:dyDescent="0.45">
      <c r="A429">
        <v>350</v>
      </c>
      <c r="Q429">
        <v>347</v>
      </c>
      <c r="R429">
        <v>57.94</v>
      </c>
      <c r="T429">
        <f t="shared" si="21"/>
        <v>0.42020618556691147</v>
      </c>
      <c r="AC429">
        <v>347</v>
      </c>
      <c r="AD429">
        <v>7.81</v>
      </c>
      <c r="AF429">
        <f t="shared" si="20"/>
        <v>2.8247422680172107E-3</v>
      </c>
    </row>
    <row r="430" spans="1:32" x14ac:dyDescent="0.45">
      <c r="A430">
        <v>351</v>
      </c>
      <c r="Q430">
        <v>348</v>
      </c>
      <c r="R430">
        <v>57.94</v>
      </c>
      <c r="T430">
        <f t="shared" si="21"/>
        <v>0.42020618556691147</v>
      </c>
      <c r="AC430">
        <v>348</v>
      </c>
      <c r="AD430">
        <v>7.81</v>
      </c>
      <c r="AF430">
        <f t="shared" si="20"/>
        <v>2.8247422680172107E-3</v>
      </c>
    </row>
    <row r="431" spans="1:32" x14ac:dyDescent="0.45">
      <c r="A431">
        <v>352</v>
      </c>
      <c r="Q431">
        <v>349</v>
      </c>
      <c r="R431">
        <v>58</v>
      </c>
      <c r="T431">
        <f t="shared" si="21"/>
        <v>0.48020618556691375</v>
      </c>
      <c r="AC431">
        <v>349</v>
      </c>
      <c r="AD431">
        <v>7.81</v>
      </c>
      <c r="AF431">
        <f t="shared" si="20"/>
        <v>2.8247422680172107E-3</v>
      </c>
    </row>
    <row r="432" spans="1:32" x14ac:dyDescent="0.45">
      <c r="A432">
        <v>353</v>
      </c>
      <c r="Q432">
        <v>350</v>
      </c>
      <c r="R432">
        <v>57.94</v>
      </c>
      <c r="T432">
        <f t="shared" si="21"/>
        <v>0.42020618556691147</v>
      </c>
      <c r="AC432">
        <v>350</v>
      </c>
      <c r="AD432">
        <v>7.81</v>
      </c>
      <c r="AF432">
        <f t="shared" si="20"/>
        <v>2.8247422680172107E-3</v>
      </c>
    </row>
    <row r="433" spans="1:32" x14ac:dyDescent="0.45">
      <c r="A433">
        <v>354</v>
      </c>
      <c r="Q433">
        <v>351</v>
      </c>
      <c r="R433">
        <v>57.94</v>
      </c>
      <c r="T433">
        <f t="shared" si="21"/>
        <v>0.42020618556691147</v>
      </c>
      <c r="AC433">
        <v>351</v>
      </c>
      <c r="AD433">
        <v>7.81</v>
      </c>
      <c r="AF433">
        <f t="shared" si="20"/>
        <v>2.8247422680172107E-3</v>
      </c>
    </row>
    <row r="434" spans="1:32" x14ac:dyDescent="0.45">
      <c r="A434">
        <v>355</v>
      </c>
      <c r="Q434">
        <v>352</v>
      </c>
      <c r="R434">
        <v>57.94</v>
      </c>
      <c r="T434">
        <f t="shared" si="21"/>
        <v>0.42020618556691147</v>
      </c>
      <c r="AC434">
        <v>352</v>
      </c>
      <c r="AD434">
        <v>7.81</v>
      </c>
      <c r="AF434">
        <f t="shared" si="20"/>
        <v>2.8247422680172107E-3</v>
      </c>
    </row>
    <row r="435" spans="1:32" x14ac:dyDescent="0.45">
      <c r="A435">
        <v>356</v>
      </c>
      <c r="Q435">
        <v>353</v>
      </c>
      <c r="R435">
        <v>57.88</v>
      </c>
      <c r="T435">
        <f t="shared" si="21"/>
        <v>0.3602061855669163</v>
      </c>
      <c r="AC435">
        <v>353</v>
      </c>
      <c r="AD435">
        <v>7.81</v>
      </c>
      <c r="AF435">
        <f t="shared" si="20"/>
        <v>2.8247422680172107E-3</v>
      </c>
    </row>
    <row r="436" spans="1:32" x14ac:dyDescent="0.45">
      <c r="A436">
        <v>357</v>
      </c>
      <c r="Q436">
        <v>354</v>
      </c>
      <c r="R436">
        <v>57.88</v>
      </c>
      <c r="T436">
        <f t="shared" si="21"/>
        <v>0.3602061855669163</v>
      </c>
      <c r="AC436">
        <v>354</v>
      </c>
      <c r="AD436">
        <v>7.81</v>
      </c>
      <c r="AF436">
        <f t="shared" si="20"/>
        <v>2.8247422680172107E-3</v>
      </c>
    </row>
    <row r="437" spans="1:32" x14ac:dyDescent="0.45">
      <c r="A437">
        <v>358</v>
      </c>
      <c r="Q437">
        <v>355</v>
      </c>
      <c r="R437">
        <v>57.88</v>
      </c>
      <c r="T437">
        <f t="shared" si="21"/>
        <v>0.3602061855669163</v>
      </c>
      <c r="AC437">
        <v>355</v>
      </c>
      <c r="AD437">
        <v>7.81</v>
      </c>
      <c r="AF437">
        <f t="shared" si="20"/>
        <v>2.8247422680172107E-3</v>
      </c>
    </row>
    <row r="438" spans="1:32" x14ac:dyDescent="0.45">
      <c r="Q438">
        <v>356</v>
      </c>
      <c r="R438">
        <v>57.81</v>
      </c>
      <c r="T438">
        <f t="shared" si="21"/>
        <v>0.29020618556691602</v>
      </c>
      <c r="AC438">
        <v>356</v>
      </c>
      <c r="AD438">
        <v>7.75</v>
      </c>
      <c r="AF438">
        <f t="shared" si="20"/>
        <v>-5.7175257731982398E-2</v>
      </c>
    </row>
    <row r="439" spans="1:32" x14ac:dyDescent="0.45">
      <c r="Q439">
        <v>357</v>
      </c>
      <c r="R439">
        <v>57.81</v>
      </c>
      <c r="T439">
        <f t="shared" si="21"/>
        <v>0.29020618556691602</v>
      </c>
      <c r="AC439">
        <v>357</v>
      </c>
      <c r="AD439">
        <v>7.81</v>
      </c>
      <c r="AF439">
        <f t="shared" si="20"/>
        <v>2.8247422680172107E-3</v>
      </c>
    </row>
    <row r="440" spans="1:32" x14ac:dyDescent="0.45">
      <c r="Q440">
        <v>358</v>
      </c>
      <c r="R440">
        <v>57.81</v>
      </c>
      <c r="T440">
        <f t="shared" si="21"/>
        <v>0.29020618556691602</v>
      </c>
      <c r="AC440">
        <v>358</v>
      </c>
      <c r="AD440">
        <v>7.81</v>
      </c>
      <c r="AF440">
        <f t="shared" si="20"/>
        <v>2.8247422680172107E-3</v>
      </c>
    </row>
    <row r="441" spans="1:32" x14ac:dyDescent="0.45">
      <c r="Q441">
        <v>359</v>
      </c>
      <c r="R441">
        <v>57.81</v>
      </c>
      <c r="T441">
        <f t="shared" si="21"/>
        <v>0.29020618556691602</v>
      </c>
      <c r="AC441">
        <v>359</v>
      </c>
      <c r="AD441">
        <v>7.81</v>
      </c>
      <c r="AF441">
        <f t="shared" si="20"/>
        <v>2.8247422680172107E-3</v>
      </c>
    </row>
    <row r="442" spans="1:32" x14ac:dyDescent="0.45">
      <c r="Q442">
        <v>360</v>
      </c>
      <c r="R442">
        <v>57.81</v>
      </c>
      <c r="T442">
        <f t="shared" si="21"/>
        <v>0.29020618556691602</v>
      </c>
      <c r="AC442">
        <v>360</v>
      </c>
      <c r="AD442">
        <v>7.81</v>
      </c>
      <c r="AF442">
        <f t="shared" si="20"/>
        <v>2.8247422680172107E-3</v>
      </c>
    </row>
    <row r="443" spans="1:32" x14ac:dyDescent="0.45">
      <c r="Q443">
        <v>361</v>
      </c>
      <c r="R443">
        <v>57.75</v>
      </c>
      <c r="T443">
        <f t="shared" si="21"/>
        <v>0.23020618556691375</v>
      </c>
      <c r="AC443">
        <v>361</v>
      </c>
      <c r="AD443">
        <v>7.81</v>
      </c>
      <c r="AF443">
        <f t="shared" si="20"/>
        <v>2.8247422680172107E-3</v>
      </c>
    </row>
    <row r="444" spans="1:32" x14ac:dyDescent="0.45">
      <c r="Q444">
        <v>362</v>
      </c>
      <c r="R444">
        <v>57.75</v>
      </c>
      <c r="T444">
        <f t="shared" si="21"/>
        <v>0.23020618556691375</v>
      </c>
      <c r="AC444">
        <v>362</v>
      </c>
      <c r="AD444">
        <v>7.81</v>
      </c>
      <c r="AF444">
        <f t="shared" si="20"/>
        <v>2.8247422680172107E-3</v>
      </c>
    </row>
    <row r="445" spans="1:32" x14ac:dyDescent="0.45">
      <c r="Q445">
        <v>363</v>
      </c>
      <c r="R445">
        <v>57.75</v>
      </c>
      <c r="T445">
        <f t="shared" si="21"/>
        <v>0.23020618556691375</v>
      </c>
      <c r="AC445">
        <v>363</v>
      </c>
      <c r="AD445">
        <v>7.81</v>
      </c>
      <c r="AF445">
        <f t="shared" si="20"/>
        <v>2.8247422680172107E-3</v>
      </c>
    </row>
    <row r="446" spans="1:32" x14ac:dyDescent="0.45">
      <c r="Q446">
        <v>364</v>
      </c>
      <c r="R446">
        <v>57.81</v>
      </c>
      <c r="T446">
        <f t="shared" si="21"/>
        <v>0.29020618556691602</v>
      </c>
      <c r="AC446">
        <v>364</v>
      </c>
      <c r="AD446">
        <v>7.81</v>
      </c>
      <c r="AF446">
        <f t="shared" si="20"/>
        <v>2.8247422680172107E-3</v>
      </c>
    </row>
    <row r="447" spans="1:32" x14ac:dyDescent="0.45">
      <c r="Q447">
        <v>365</v>
      </c>
      <c r="R447">
        <v>57.88</v>
      </c>
      <c r="T447">
        <f t="shared" si="21"/>
        <v>0.3602061855669163</v>
      </c>
      <c r="AC447">
        <v>365</v>
      </c>
      <c r="AD447">
        <v>7.88</v>
      </c>
      <c r="AF447">
        <f t="shared" si="20"/>
        <v>7.2824742268017495E-2</v>
      </c>
    </row>
    <row r="448" spans="1:32" x14ac:dyDescent="0.45">
      <c r="Q448">
        <v>366</v>
      </c>
      <c r="R448">
        <v>57.88</v>
      </c>
      <c r="T448">
        <f t="shared" si="21"/>
        <v>0.3602061855669163</v>
      </c>
      <c r="AC448">
        <v>366</v>
      </c>
      <c r="AD448">
        <v>7.88</v>
      </c>
      <c r="AF448">
        <f t="shared" si="20"/>
        <v>7.2824742268017495E-2</v>
      </c>
    </row>
    <row r="449" spans="17:32" x14ac:dyDescent="0.45">
      <c r="Q449">
        <v>367</v>
      </c>
      <c r="R449">
        <v>57.88</v>
      </c>
      <c r="T449">
        <f t="shared" si="21"/>
        <v>0.3602061855669163</v>
      </c>
      <c r="AC449">
        <v>367</v>
      </c>
      <c r="AD449">
        <v>7.88</v>
      </c>
      <c r="AF449">
        <f t="shared" si="20"/>
        <v>7.2824742268017495E-2</v>
      </c>
    </row>
    <row r="450" spans="17:32" x14ac:dyDescent="0.45">
      <c r="Q450">
        <v>368</v>
      </c>
      <c r="R450">
        <v>57.94</v>
      </c>
      <c r="T450">
        <f t="shared" si="21"/>
        <v>0.42020618556691147</v>
      </c>
      <c r="AC450">
        <v>368</v>
      </c>
      <c r="AD450">
        <v>7.88</v>
      </c>
      <c r="AF450">
        <f t="shared" si="20"/>
        <v>7.2824742268017495E-2</v>
      </c>
    </row>
    <row r="451" spans="17:32" x14ac:dyDescent="0.45">
      <c r="Q451">
        <v>369</v>
      </c>
      <c r="R451">
        <v>57.94</v>
      </c>
      <c r="T451">
        <f t="shared" si="21"/>
        <v>0.42020618556691147</v>
      </c>
      <c r="AC451">
        <v>369</v>
      </c>
      <c r="AD451">
        <v>7.88</v>
      </c>
      <c r="AF451">
        <f t="shared" si="20"/>
        <v>7.2824742268017495E-2</v>
      </c>
    </row>
    <row r="452" spans="17:32" x14ac:dyDescent="0.45">
      <c r="Q452">
        <v>370</v>
      </c>
      <c r="R452">
        <v>57.94</v>
      </c>
      <c r="T452">
        <f t="shared" si="21"/>
        <v>0.42020618556691147</v>
      </c>
      <c r="AC452">
        <v>370</v>
      </c>
      <c r="AD452">
        <v>7.88</v>
      </c>
      <c r="AF452">
        <f t="shared" si="20"/>
        <v>7.2824742268017495E-2</v>
      </c>
    </row>
    <row r="453" spans="17:32" x14ac:dyDescent="0.45">
      <c r="Q453">
        <v>371</v>
      </c>
      <c r="R453">
        <v>58</v>
      </c>
      <c r="T453">
        <f t="shared" si="21"/>
        <v>0.48020618556691375</v>
      </c>
      <c r="AC453">
        <v>371</v>
      </c>
      <c r="AD453">
        <v>7.88</v>
      </c>
      <c r="AF453">
        <f t="shared" si="20"/>
        <v>7.2824742268017495E-2</v>
      </c>
    </row>
    <row r="454" spans="17:32" x14ac:dyDescent="0.45">
      <c r="Q454">
        <v>372</v>
      </c>
      <c r="R454">
        <v>57.94</v>
      </c>
      <c r="T454">
        <f t="shared" si="21"/>
        <v>0.42020618556691147</v>
      </c>
      <c r="AC454">
        <v>372</v>
      </c>
      <c r="AD454">
        <v>7.88</v>
      </c>
      <c r="AF454">
        <f t="shared" si="20"/>
        <v>7.2824742268017495E-2</v>
      </c>
    </row>
    <row r="455" spans="17:32" x14ac:dyDescent="0.45">
      <c r="Q455">
        <v>373</v>
      </c>
      <c r="R455">
        <v>57.94</v>
      </c>
      <c r="T455">
        <f t="shared" si="21"/>
        <v>0.42020618556691147</v>
      </c>
      <c r="AC455">
        <v>373</v>
      </c>
      <c r="AD455">
        <v>7.81</v>
      </c>
      <c r="AF455">
        <f t="shared" si="20"/>
        <v>2.8247422680172107E-3</v>
      </c>
    </row>
    <row r="456" spans="17:32" x14ac:dyDescent="0.45">
      <c r="Q456">
        <v>374</v>
      </c>
      <c r="R456">
        <v>57.94</v>
      </c>
      <c r="T456">
        <f t="shared" si="21"/>
        <v>0.42020618556691147</v>
      </c>
      <c r="AC456">
        <v>374</v>
      </c>
      <c r="AD456">
        <v>7.88</v>
      </c>
      <c r="AF456">
        <f t="shared" si="20"/>
        <v>7.2824742268017495E-2</v>
      </c>
    </row>
    <row r="457" spans="17:32" x14ac:dyDescent="0.45">
      <c r="Q457">
        <v>375</v>
      </c>
      <c r="R457">
        <v>57.94</v>
      </c>
      <c r="T457">
        <f t="shared" si="21"/>
        <v>0.42020618556691147</v>
      </c>
      <c r="AC457">
        <v>375</v>
      </c>
      <c r="AD457">
        <v>7.88</v>
      </c>
      <c r="AF457">
        <f t="shared" si="20"/>
        <v>7.2824742268017495E-2</v>
      </c>
    </row>
    <row r="458" spans="17:32" x14ac:dyDescent="0.45">
      <c r="Q458">
        <v>376</v>
      </c>
      <c r="R458">
        <v>57.88</v>
      </c>
      <c r="T458">
        <f t="shared" si="21"/>
        <v>0.3602061855669163</v>
      </c>
      <c r="AC458">
        <v>376</v>
      </c>
      <c r="AD458">
        <v>7.88</v>
      </c>
      <c r="AF458">
        <f t="shared" si="20"/>
        <v>7.2824742268017495E-2</v>
      </c>
    </row>
    <row r="459" spans="17:32" x14ac:dyDescent="0.45">
      <c r="Q459">
        <v>377</v>
      </c>
      <c r="R459">
        <v>57.88</v>
      </c>
      <c r="T459">
        <f t="shared" si="21"/>
        <v>0.3602061855669163</v>
      </c>
      <c r="AC459">
        <v>377</v>
      </c>
      <c r="AD459">
        <v>7.88</v>
      </c>
      <c r="AF459">
        <f t="shared" si="20"/>
        <v>7.2824742268017495E-2</v>
      </c>
    </row>
    <row r="460" spans="17:32" x14ac:dyDescent="0.45">
      <c r="Q460">
        <v>378</v>
      </c>
      <c r="R460">
        <v>57.88</v>
      </c>
      <c r="T460">
        <f t="shared" si="21"/>
        <v>0.3602061855669163</v>
      </c>
      <c r="AC460">
        <v>378</v>
      </c>
      <c r="AD460">
        <v>7.88</v>
      </c>
      <c r="AF460">
        <f t="shared" si="20"/>
        <v>7.2824742268017495E-2</v>
      </c>
    </row>
    <row r="461" spans="17:32" x14ac:dyDescent="0.45">
      <c r="Q461">
        <v>379</v>
      </c>
      <c r="R461">
        <v>57.88</v>
      </c>
      <c r="T461">
        <f t="shared" si="21"/>
        <v>0.3602061855669163</v>
      </c>
      <c r="AC461">
        <v>379</v>
      </c>
      <c r="AD461">
        <v>7.88</v>
      </c>
      <c r="AF461">
        <f t="shared" si="20"/>
        <v>7.2824742268017495E-2</v>
      </c>
    </row>
    <row r="462" spans="17:32" x14ac:dyDescent="0.45">
      <c r="Q462">
        <v>380</v>
      </c>
      <c r="R462">
        <v>57.81</v>
      </c>
      <c r="T462">
        <f t="shared" si="21"/>
        <v>0.29020618556691602</v>
      </c>
      <c r="AC462">
        <v>380</v>
      </c>
      <c r="AD462">
        <v>7.94</v>
      </c>
      <c r="AF462">
        <f t="shared" si="20"/>
        <v>0.13282474226801799</v>
      </c>
    </row>
    <row r="463" spans="17:32" x14ac:dyDescent="0.45">
      <c r="Q463">
        <v>381</v>
      </c>
      <c r="R463">
        <v>57.81</v>
      </c>
      <c r="T463">
        <f t="shared" si="21"/>
        <v>0.29020618556691602</v>
      </c>
      <c r="AC463">
        <v>381</v>
      </c>
      <c r="AD463">
        <v>7.88</v>
      </c>
      <c r="AF463">
        <f t="shared" si="20"/>
        <v>7.2824742268017495E-2</v>
      </c>
    </row>
    <row r="464" spans="17:32" x14ac:dyDescent="0.45">
      <c r="Q464">
        <v>382</v>
      </c>
      <c r="R464">
        <v>57.81</v>
      </c>
      <c r="T464">
        <f t="shared" si="21"/>
        <v>0.29020618556691602</v>
      </c>
      <c r="AC464">
        <v>382</v>
      </c>
      <c r="AD464">
        <v>7.94</v>
      </c>
      <c r="AF464">
        <f t="shared" si="20"/>
        <v>0.13282474226801799</v>
      </c>
    </row>
    <row r="465" spans="17:32" x14ac:dyDescent="0.45">
      <c r="Q465">
        <v>383</v>
      </c>
      <c r="R465">
        <v>57.81</v>
      </c>
      <c r="T465">
        <f t="shared" si="21"/>
        <v>0.29020618556691602</v>
      </c>
      <c r="AC465">
        <v>383</v>
      </c>
      <c r="AD465">
        <v>7.94</v>
      </c>
      <c r="AF465">
        <f t="shared" si="20"/>
        <v>0.13282474226801799</v>
      </c>
    </row>
    <row r="466" spans="17:32" x14ac:dyDescent="0.45">
      <c r="Q466">
        <v>384</v>
      </c>
      <c r="R466">
        <v>57.75</v>
      </c>
      <c r="T466">
        <f t="shared" si="21"/>
        <v>0.23020618556691375</v>
      </c>
      <c r="AC466">
        <v>384</v>
      </c>
      <c r="AD466">
        <v>7.94</v>
      </c>
      <c r="AF466">
        <f t="shared" si="20"/>
        <v>0.13282474226801799</v>
      </c>
    </row>
    <row r="467" spans="17:32" x14ac:dyDescent="0.45">
      <c r="Q467">
        <v>385</v>
      </c>
      <c r="R467">
        <v>57.75</v>
      </c>
      <c r="T467">
        <f t="shared" si="21"/>
        <v>0.23020618556691375</v>
      </c>
      <c r="AC467">
        <v>385</v>
      </c>
      <c r="AD467">
        <v>7.94</v>
      </c>
      <c r="AF467">
        <f t="shared" ref="AF467:AF530" si="22">(AD467-$AE$82)</f>
        <v>0.13282474226801799</v>
      </c>
    </row>
    <row r="468" spans="17:32" x14ac:dyDescent="0.45">
      <c r="Q468">
        <v>386</v>
      </c>
      <c r="R468">
        <v>57.81</v>
      </c>
      <c r="T468">
        <f t="shared" ref="T468:T531" si="23">(R468-$S$82)</f>
        <v>0.29020618556691602</v>
      </c>
      <c r="AC468">
        <v>386</v>
      </c>
      <c r="AD468">
        <v>7.94</v>
      </c>
      <c r="AF468">
        <f t="shared" si="22"/>
        <v>0.13282474226801799</v>
      </c>
    </row>
    <row r="469" spans="17:32" x14ac:dyDescent="0.45">
      <c r="Q469">
        <v>387</v>
      </c>
      <c r="R469">
        <v>57.81</v>
      </c>
      <c r="T469">
        <f t="shared" si="23"/>
        <v>0.29020618556691602</v>
      </c>
      <c r="AC469">
        <v>387</v>
      </c>
      <c r="AD469">
        <v>8</v>
      </c>
      <c r="AF469">
        <f t="shared" si="22"/>
        <v>0.1928247422680176</v>
      </c>
    </row>
    <row r="470" spans="17:32" x14ac:dyDescent="0.45">
      <c r="Q470">
        <v>388</v>
      </c>
      <c r="R470">
        <v>57.75</v>
      </c>
      <c r="T470">
        <f t="shared" si="23"/>
        <v>0.23020618556691375</v>
      </c>
      <c r="AC470">
        <v>388</v>
      </c>
      <c r="AD470">
        <v>8</v>
      </c>
      <c r="AF470">
        <f t="shared" si="22"/>
        <v>0.1928247422680176</v>
      </c>
    </row>
    <row r="471" spans="17:32" x14ac:dyDescent="0.45">
      <c r="Q471">
        <v>389</v>
      </c>
      <c r="R471">
        <v>57.75</v>
      </c>
      <c r="T471">
        <f t="shared" si="23"/>
        <v>0.23020618556691375</v>
      </c>
      <c r="AC471">
        <v>389</v>
      </c>
      <c r="AD471">
        <v>7.94</v>
      </c>
      <c r="AF471">
        <f t="shared" si="22"/>
        <v>0.13282474226801799</v>
      </c>
    </row>
    <row r="472" spans="17:32" x14ac:dyDescent="0.45">
      <c r="Q472">
        <v>390</v>
      </c>
      <c r="R472">
        <v>57.75</v>
      </c>
      <c r="T472">
        <f t="shared" si="23"/>
        <v>0.23020618556691375</v>
      </c>
      <c r="AC472">
        <v>390</v>
      </c>
      <c r="AD472">
        <v>7.94</v>
      </c>
      <c r="AF472">
        <f t="shared" si="22"/>
        <v>0.13282474226801799</v>
      </c>
    </row>
    <row r="473" spans="17:32" x14ac:dyDescent="0.45">
      <c r="Q473">
        <v>391</v>
      </c>
      <c r="R473">
        <v>57.69</v>
      </c>
      <c r="T473">
        <f t="shared" si="23"/>
        <v>0.17020618556691147</v>
      </c>
      <c r="AC473">
        <v>391</v>
      </c>
      <c r="AD473">
        <v>7.94</v>
      </c>
      <c r="AF473">
        <f t="shared" si="22"/>
        <v>0.13282474226801799</v>
      </c>
    </row>
    <row r="474" spans="17:32" x14ac:dyDescent="0.45">
      <c r="Q474">
        <v>392</v>
      </c>
      <c r="R474">
        <v>57.69</v>
      </c>
      <c r="T474">
        <f t="shared" si="23"/>
        <v>0.17020618556691147</v>
      </c>
      <c r="AC474">
        <v>392</v>
      </c>
      <c r="AD474">
        <v>7.94</v>
      </c>
      <c r="AF474">
        <f t="shared" si="22"/>
        <v>0.13282474226801799</v>
      </c>
    </row>
    <row r="475" spans="17:32" x14ac:dyDescent="0.45">
      <c r="Q475">
        <v>393</v>
      </c>
      <c r="R475">
        <v>57.69</v>
      </c>
      <c r="T475">
        <f t="shared" si="23"/>
        <v>0.17020618556691147</v>
      </c>
      <c r="AC475">
        <v>393</v>
      </c>
      <c r="AD475">
        <v>7.94</v>
      </c>
      <c r="AF475">
        <f t="shared" si="22"/>
        <v>0.13282474226801799</v>
      </c>
    </row>
    <row r="476" spans="17:32" x14ac:dyDescent="0.45">
      <c r="Q476">
        <v>394</v>
      </c>
      <c r="R476">
        <v>57.63</v>
      </c>
      <c r="T476">
        <f t="shared" si="23"/>
        <v>0.1102061855669163</v>
      </c>
      <c r="AC476">
        <v>394</v>
      </c>
      <c r="AD476">
        <v>7.94</v>
      </c>
      <c r="AF476">
        <f t="shared" si="22"/>
        <v>0.13282474226801799</v>
      </c>
    </row>
    <row r="477" spans="17:32" x14ac:dyDescent="0.45">
      <c r="Q477">
        <v>395</v>
      </c>
      <c r="R477">
        <v>57.63</v>
      </c>
      <c r="T477">
        <f t="shared" si="23"/>
        <v>0.1102061855669163</v>
      </c>
      <c r="AC477">
        <v>395</v>
      </c>
      <c r="AD477">
        <v>7.94</v>
      </c>
      <c r="AF477">
        <f t="shared" si="22"/>
        <v>0.13282474226801799</v>
      </c>
    </row>
    <row r="478" spans="17:32" x14ac:dyDescent="0.45">
      <c r="Q478">
        <v>396</v>
      </c>
      <c r="R478">
        <v>57.63</v>
      </c>
      <c r="T478">
        <f t="shared" si="23"/>
        <v>0.1102061855669163</v>
      </c>
      <c r="AC478">
        <v>396</v>
      </c>
      <c r="AD478">
        <v>8</v>
      </c>
      <c r="AF478">
        <f t="shared" si="22"/>
        <v>0.1928247422680176</v>
      </c>
    </row>
    <row r="479" spans="17:32" x14ac:dyDescent="0.45">
      <c r="Q479">
        <v>397</v>
      </c>
      <c r="R479">
        <v>57.63</v>
      </c>
      <c r="T479">
        <f t="shared" si="23"/>
        <v>0.1102061855669163</v>
      </c>
      <c r="AC479">
        <v>397</v>
      </c>
      <c r="AD479">
        <v>8</v>
      </c>
      <c r="AF479">
        <f t="shared" si="22"/>
        <v>0.1928247422680176</v>
      </c>
    </row>
    <row r="480" spans="17:32" x14ac:dyDescent="0.45">
      <c r="Q480">
        <v>398</v>
      </c>
      <c r="R480">
        <v>57.63</v>
      </c>
      <c r="T480">
        <f t="shared" si="23"/>
        <v>0.1102061855669163</v>
      </c>
      <c r="AC480">
        <v>398</v>
      </c>
      <c r="AD480">
        <v>8</v>
      </c>
      <c r="AF480">
        <f t="shared" si="22"/>
        <v>0.1928247422680176</v>
      </c>
    </row>
    <row r="481" spans="17:32" x14ac:dyDescent="0.45">
      <c r="Q481">
        <v>399</v>
      </c>
      <c r="R481">
        <v>57.63</v>
      </c>
      <c r="T481">
        <f t="shared" si="23"/>
        <v>0.1102061855669163</v>
      </c>
      <c r="AC481">
        <v>399</v>
      </c>
      <c r="AD481">
        <v>8</v>
      </c>
      <c r="AF481">
        <f t="shared" si="22"/>
        <v>0.1928247422680176</v>
      </c>
    </row>
    <row r="482" spans="17:32" x14ac:dyDescent="0.45">
      <c r="Q482">
        <v>400</v>
      </c>
      <c r="R482">
        <v>57.56</v>
      </c>
      <c r="T482">
        <f t="shared" si="23"/>
        <v>4.020618556691602E-2</v>
      </c>
      <c r="AC482">
        <v>400</v>
      </c>
      <c r="AD482">
        <v>8</v>
      </c>
      <c r="AF482">
        <f t="shared" si="22"/>
        <v>0.1928247422680176</v>
      </c>
    </row>
    <row r="483" spans="17:32" x14ac:dyDescent="0.45">
      <c r="Q483">
        <v>401</v>
      </c>
      <c r="R483">
        <v>57.56</v>
      </c>
      <c r="T483">
        <f t="shared" si="23"/>
        <v>4.020618556691602E-2</v>
      </c>
      <c r="AC483">
        <v>401</v>
      </c>
      <c r="AD483">
        <v>8</v>
      </c>
      <c r="AF483">
        <f t="shared" si="22"/>
        <v>0.1928247422680176</v>
      </c>
    </row>
    <row r="484" spans="17:32" x14ac:dyDescent="0.45">
      <c r="Q484">
        <v>402</v>
      </c>
      <c r="R484">
        <v>57.56</v>
      </c>
      <c r="T484">
        <f t="shared" si="23"/>
        <v>4.020618556691602E-2</v>
      </c>
      <c r="AC484">
        <v>402</v>
      </c>
      <c r="AD484">
        <v>8</v>
      </c>
      <c r="AF484">
        <f t="shared" si="22"/>
        <v>0.1928247422680176</v>
      </c>
    </row>
    <row r="485" spans="17:32" x14ac:dyDescent="0.45">
      <c r="Q485">
        <v>403</v>
      </c>
      <c r="R485">
        <v>57.5</v>
      </c>
      <c r="T485">
        <f t="shared" si="23"/>
        <v>-1.9793814433086254E-2</v>
      </c>
      <c r="AC485">
        <v>403</v>
      </c>
      <c r="AD485">
        <v>8</v>
      </c>
      <c r="AF485">
        <f t="shared" si="22"/>
        <v>0.1928247422680176</v>
      </c>
    </row>
    <row r="486" spans="17:32" x14ac:dyDescent="0.45">
      <c r="Q486">
        <v>404</v>
      </c>
      <c r="R486">
        <v>57.5</v>
      </c>
      <c r="T486">
        <f t="shared" si="23"/>
        <v>-1.9793814433086254E-2</v>
      </c>
      <c r="AC486">
        <v>404</v>
      </c>
      <c r="AD486">
        <v>8.06</v>
      </c>
      <c r="AF486">
        <f t="shared" si="22"/>
        <v>0.2528247422680181</v>
      </c>
    </row>
    <row r="487" spans="17:32" x14ac:dyDescent="0.45">
      <c r="Q487">
        <v>405</v>
      </c>
      <c r="R487">
        <v>57.5</v>
      </c>
      <c r="T487">
        <f t="shared" si="23"/>
        <v>-1.9793814433086254E-2</v>
      </c>
      <c r="AC487">
        <v>405</v>
      </c>
      <c r="AD487">
        <v>8</v>
      </c>
      <c r="AF487">
        <f t="shared" si="22"/>
        <v>0.1928247422680176</v>
      </c>
    </row>
    <row r="488" spans="17:32" x14ac:dyDescent="0.45">
      <c r="Q488">
        <v>406</v>
      </c>
      <c r="R488">
        <v>57.44</v>
      </c>
      <c r="T488">
        <f t="shared" si="23"/>
        <v>-7.9793814433088528E-2</v>
      </c>
      <c r="AC488">
        <v>406</v>
      </c>
      <c r="AD488">
        <v>8</v>
      </c>
      <c r="AF488">
        <f t="shared" si="22"/>
        <v>0.1928247422680176</v>
      </c>
    </row>
    <row r="489" spans="17:32" x14ac:dyDescent="0.45">
      <c r="Q489">
        <v>407</v>
      </c>
      <c r="R489">
        <v>57.44</v>
      </c>
      <c r="T489">
        <f t="shared" si="23"/>
        <v>-7.9793814433088528E-2</v>
      </c>
      <c r="AC489">
        <v>407</v>
      </c>
      <c r="AD489">
        <v>8</v>
      </c>
      <c r="AF489">
        <f t="shared" si="22"/>
        <v>0.1928247422680176</v>
      </c>
    </row>
    <row r="490" spans="17:32" x14ac:dyDescent="0.45">
      <c r="Q490">
        <v>408</v>
      </c>
      <c r="R490">
        <v>57.5</v>
      </c>
      <c r="T490">
        <f t="shared" si="23"/>
        <v>-1.9793814433086254E-2</v>
      </c>
      <c r="AC490">
        <v>408</v>
      </c>
      <c r="AD490">
        <v>8</v>
      </c>
      <c r="AF490">
        <f t="shared" si="22"/>
        <v>0.1928247422680176</v>
      </c>
    </row>
    <row r="491" spans="17:32" x14ac:dyDescent="0.45">
      <c r="Q491">
        <v>409</v>
      </c>
      <c r="R491">
        <v>57.5</v>
      </c>
      <c r="T491">
        <f t="shared" si="23"/>
        <v>-1.9793814433086254E-2</v>
      </c>
      <c r="AC491">
        <v>409</v>
      </c>
      <c r="AD491">
        <v>8</v>
      </c>
      <c r="AF491">
        <f t="shared" si="22"/>
        <v>0.1928247422680176</v>
      </c>
    </row>
    <row r="492" spans="17:32" x14ac:dyDescent="0.45">
      <c r="Q492">
        <v>410</v>
      </c>
      <c r="R492">
        <v>57.5</v>
      </c>
      <c r="T492">
        <f t="shared" si="23"/>
        <v>-1.9793814433086254E-2</v>
      </c>
      <c r="AC492">
        <v>410</v>
      </c>
      <c r="AD492">
        <v>8</v>
      </c>
      <c r="AF492">
        <f t="shared" si="22"/>
        <v>0.1928247422680176</v>
      </c>
    </row>
    <row r="493" spans="17:32" x14ac:dyDescent="0.45">
      <c r="Q493">
        <v>411</v>
      </c>
      <c r="R493">
        <v>57.5</v>
      </c>
      <c r="T493">
        <f t="shared" si="23"/>
        <v>-1.9793814433086254E-2</v>
      </c>
      <c r="AC493">
        <v>411</v>
      </c>
      <c r="AD493">
        <v>8</v>
      </c>
      <c r="AF493">
        <f t="shared" si="22"/>
        <v>0.1928247422680176</v>
      </c>
    </row>
    <row r="494" spans="17:32" x14ac:dyDescent="0.45">
      <c r="Q494">
        <v>412</v>
      </c>
      <c r="R494">
        <v>57.44</v>
      </c>
      <c r="T494">
        <f t="shared" si="23"/>
        <v>-7.9793814433088528E-2</v>
      </c>
      <c r="AC494">
        <v>412</v>
      </c>
      <c r="AD494">
        <v>8</v>
      </c>
      <c r="AF494">
        <f t="shared" si="22"/>
        <v>0.1928247422680176</v>
      </c>
    </row>
    <row r="495" spans="17:32" x14ac:dyDescent="0.45">
      <c r="Q495">
        <v>413</v>
      </c>
      <c r="R495">
        <v>57.44</v>
      </c>
      <c r="T495">
        <f t="shared" si="23"/>
        <v>-7.9793814433088528E-2</v>
      </c>
      <c r="AC495">
        <v>413</v>
      </c>
      <c r="AD495">
        <v>7.94</v>
      </c>
      <c r="AF495">
        <f t="shared" si="22"/>
        <v>0.13282474226801799</v>
      </c>
    </row>
    <row r="496" spans="17:32" x14ac:dyDescent="0.45">
      <c r="Q496">
        <v>414</v>
      </c>
      <c r="R496">
        <v>57.44</v>
      </c>
      <c r="T496">
        <f t="shared" si="23"/>
        <v>-7.9793814433088528E-2</v>
      </c>
      <c r="AC496">
        <v>414</v>
      </c>
      <c r="AD496">
        <v>8</v>
      </c>
      <c r="AF496">
        <f t="shared" si="22"/>
        <v>0.1928247422680176</v>
      </c>
    </row>
    <row r="497" spans="17:32" x14ac:dyDescent="0.45">
      <c r="Q497">
        <v>415</v>
      </c>
      <c r="R497">
        <v>57</v>
      </c>
      <c r="T497">
        <f t="shared" si="23"/>
        <v>-0.51979381443308625</v>
      </c>
      <c r="AC497">
        <v>415</v>
      </c>
      <c r="AD497">
        <v>8</v>
      </c>
      <c r="AF497">
        <f t="shared" si="22"/>
        <v>0.1928247422680176</v>
      </c>
    </row>
    <row r="498" spans="17:32" x14ac:dyDescent="0.45">
      <c r="Q498">
        <v>416</v>
      </c>
      <c r="R498">
        <v>56.94</v>
      </c>
      <c r="T498">
        <f t="shared" si="23"/>
        <v>-0.57979381443308853</v>
      </c>
      <c r="AC498">
        <v>416</v>
      </c>
      <c r="AD498">
        <v>7.94</v>
      </c>
      <c r="AF498">
        <f t="shared" si="22"/>
        <v>0.13282474226801799</v>
      </c>
    </row>
    <row r="499" spans="17:32" x14ac:dyDescent="0.45">
      <c r="Q499">
        <v>417</v>
      </c>
      <c r="R499">
        <v>56.94</v>
      </c>
      <c r="T499">
        <f t="shared" si="23"/>
        <v>-0.57979381443308853</v>
      </c>
      <c r="AC499">
        <v>417</v>
      </c>
      <c r="AD499">
        <v>7.94</v>
      </c>
      <c r="AF499">
        <f t="shared" si="22"/>
        <v>0.13282474226801799</v>
      </c>
    </row>
    <row r="500" spans="17:32" x14ac:dyDescent="0.45">
      <c r="Q500">
        <v>418</v>
      </c>
      <c r="R500">
        <v>56.94</v>
      </c>
      <c r="T500">
        <f t="shared" si="23"/>
        <v>-0.57979381443308853</v>
      </c>
      <c r="AC500">
        <v>418</v>
      </c>
      <c r="AD500">
        <v>7.94</v>
      </c>
      <c r="AF500">
        <f t="shared" si="22"/>
        <v>0.13282474226801799</v>
      </c>
    </row>
    <row r="501" spans="17:32" x14ac:dyDescent="0.45">
      <c r="Q501">
        <v>419</v>
      </c>
      <c r="R501">
        <v>56.94</v>
      </c>
      <c r="T501">
        <f t="shared" si="23"/>
        <v>-0.57979381443308853</v>
      </c>
      <c r="AC501">
        <v>419</v>
      </c>
      <c r="AD501">
        <v>7.94</v>
      </c>
      <c r="AF501">
        <f t="shared" si="22"/>
        <v>0.13282474226801799</v>
      </c>
    </row>
    <row r="502" spans="17:32" x14ac:dyDescent="0.45">
      <c r="Q502">
        <v>420</v>
      </c>
      <c r="R502">
        <v>57</v>
      </c>
      <c r="T502">
        <f t="shared" si="23"/>
        <v>-0.51979381443308625</v>
      </c>
      <c r="AC502">
        <v>420</v>
      </c>
      <c r="AD502">
        <v>7.94</v>
      </c>
      <c r="AF502">
        <f t="shared" si="22"/>
        <v>0.13282474226801799</v>
      </c>
    </row>
    <row r="503" spans="17:32" x14ac:dyDescent="0.45">
      <c r="Q503">
        <v>421</v>
      </c>
      <c r="R503">
        <v>57.06</v>
      </c>
      <c r="T503">
        <f t="shared" si="23"/>
        <v>-0.45979381443308398</v>
      </c>
      <c r="AC503">
        <v>421</v>
      </c>
      <c r="AD503">
        <v>7.94</v>
      </c>
      <c r="AF503">
        <f t="shared" si="22"/>
        <v>0.13282474226801799</v>
      </c>
    </row>
    <row r="504" spans="17:32" x14ac:dyDescent="0.45">
      <c r="Q504">
        <v>422</v>
      </c>
      <c r="R504">
        <v>57.13</v>
      </c>
      <c r="T504">
        <f t="shared" si="23"/>
        <v>-0.3897938144330837</v>
      </c>
      <c r="AC504">
        <v>422</v>
      </c>
      <c r="AD504">
        <v>7.94</v>
      </c>
      <c r="AF504">
        <f t="shared" si="22"/>
        <v>0.13282474226801799</v>
      </c>
    </row>
    <row r="505" spans="17:32" x14ac:dyDescent="0.45">
      <c r="Q505">
        <v>423</v>
      </c>
      <c r="R505">
        <v>57.13</v>
      </c>
      <c r="T505">
        <f t="shared" si="23"/>
        <v>-0.3897938144330837</v>
      </c>
      <c r="AC505">
        <v>423</v>
      </c>
      <c r="AD505">
        <v>7.94</v>
      </c>
      <c r="AF505">
        <f t="shared" si="22"/>
        <v>0.13282474226801799</v>
      </c>
    </row>
    <row r="506" spans="17:32" x14ac:dyDescent="0.45">
      <c r="Q506">
        <v>424</v>
      </c>
      <c r="R506">
        <v>57.25</v>
      </c>
      <c r="T506">
        <f t="shared" si="23"/>
        <v>-0.26979381443308625</v>
      </c>
      <c r="AC506">
        <v>424</v>
      </c>
      <c r="AD506">
        <v>7.88</v>
      </c>
      <c r="AF506">
        <f t="shared" si="22"/>
        <v>7.2824742268017495E-2</v>
      </c>
    </row>
    <row r="507" spans="17:32" x14ac:dyDescent="0.45">
      <c r="Q507">
        <v>425</v>
      </c>
      <c r="R507">
        <v>57.31</v>
      </c>
      <c r="T507">
        <f t="shared" si="23"/>
        <v>-0.20979381443308398</v>
      </c>
      <c r="AC507">
        <v>425</v>
      </c>
      <c r="AD507">
        <v>7.94</v>
      </c>
      <c r="AF507">
        <f t="shared" si="22"/>
        <v>0.13282474226801799</v>
      </c>
    </row>
    <row r="508" spans="17:32" x14ac:dyDescent="0.45">
      <c r="Q508">
        <v>426</v>
      </c>
      <c r="R508">
        <v>57.31</v>
      </c>
      <c r="T508">
        <f t="shared" si="23"/>
        <v>-0.20979381443308398</v>
      </c>
      <c r="AC508">
        <v>426</v>
      </c>
      <c r="AD508">
        <v>7.88</v>
      </c>
      <c r="AF508">
        <f t="shared" si="22"/>
        <v>7.2824742268017495E-2</v>
      </c>
    </row>
    <row r="509" spans="17:32" x14ac:dyDescent="0.45">
      <c r="Q509">
        <v>427</v>
      </c>
      <c r="R509">
        <v>57.31</v>
      </c>
      <c r="T509">
        <f t="shared" si="23"/>
        <v>-0.20979381443308398</v>
      </c>
      <c r="AC509">
        <v>427</v>
      </c>
      <c r="AD509">
        <v>7.88</v>
      </c>
      <c r="AF509">
        <f t="shared" si="22"/>
        <v>7.2824742268017495E-2</v>
      </c>
    </row>
    <row r="510" spans="17:32" x14ac:dyDescent="0.45">
      <c r="Q510">
        <v>428</v>
      </c>
      <c r="R510">
        <v>57.38</v>
      </c>
      <c r="T510">
        <f t="shared" si="23"/>
        <v>-0.1397938144330837</v>
      </c>
      <c r="AC510">
        <v>428</v>
      </c>
      <c r="AD510">
        <v>7.88</v>
      </c>
      <c r="AF510">
        <f t="shared" si="22"/>
        <v>7.2824742268017495E-2</v>
      </c>
    </row>
    <row r="511" spans="17:32" x14ac:dyDescent="0.45">
      <c r="Q511">
        <v>429</v>
      </c>
      <c r="R511">
        <v>57.38</v>
      </c>
      <c r="T511">
        <f t="shared" si="23"/>
        <v>-0.1397938144330837</v>
      </c>
      <c r="AC511">
        <v>429</v>
      </c>
      <c r="AD511">
        <v>7.88</v>
      </c>
      <c r="AF511">
        <f t="shared" si="22"/>
        <v>7.2824742268017495E-2</v>
      </c>
    </row>
    <row r="512" spans="17:32" x14ac:dyDescent="0.45">
      <c r="Q512">
        <v>430</v>
      </c>
      <c r="R512">
        <v>57.38</v>
      </c>
      <c r="T512">
        <f t="shared" si="23"/>
        <v>-0.1397938144330837</v>
      </c>
      <c r="AC512">
        <v>430</v>
      </c>
      <c r="AD512">
        <v>7.81</v>
      </c>
      <c r="AF512">
        <f t="shared" si="22"/>
        <v>2.8247422680172107E-3</v>
      </c>
    </row>
    <row r="513" spans="17:32" x14ac:dyDescent="0.45">
      <c r="Q513">
        <v>431</v>
      </c>
      <c r="R513">
        <v>57.44</v>
      </c>
      <c r="T513">
        <f t="shared" si="23"/>
        <v>-7.9793814433088528E-2</v>
      </c>
      <c r="AC513">
        <v>431</v>
      </c>
      <c r="AD513">
        <v>7.81</v>
      </c>
      <c r="AF513">
        <f t="shared" si="22"/>
        <v>2.8247422680172107E-3</v>
      </c>
    </row>
    <row r="514" spans="17:32" x14ac:dyDescent="0.45">
      <c r="Q514">
        <v>432</v>
      </c>
      <c r="R514">
        <v>57.44</v>
      </c>
      <c r="T514">
        <f t="shared" si="23"/>
        <v>-7.9793814433088528E-2</v>
      </c>
      <c r="AC514">
        <v>432</v>
      </c>
      <c r="AD514">
        <v>7.81</v>
      </c>
      <c r="AF514">
        <f t="shared" si="22"/>
        <v>2.8247422680172107E-3</v>
      </c>
    </row>
    <row r="515" spans="17:32" x14ac:dyDescent="0.45">
      <c r="Q515">
        <v>433</v>
      </c>
      <c r="R515">
        <v>57.5</v>
      </c>
      <c r="T515">
        <f t="shared" si="23"/>
        <v>-1.9793814433086254E-2</v>
      </c>
      <c r="AC515">
        <v>433</v>
      </c>
      <c r="AD515">
        <v>7.81</v>
      </c>
      <c r="AF515">
        <f t="shared" si="22"/>
        <v>2.8247422680172107E-3</v>
      </c>
    </row>
    <row r="516" spans="17:32" x14ac:dyDescent="0.45">
      <c r="Q516">
        <v>434</v>
      </c>
      <c r="R516">
        <v>57.56</v>
      </c>
      <c r="T516">
        <f t="shared" si="23"/>
        <v>4.020618556691602E-2</v>
      </c>
      <c r="AC516">
        <v>434</v>
      </c>
      <c r="AD516">
        <v>7.88</v>
      </c>
      <c r="AF516">
        <f t="shared" si="22"/>
        <v>7.2824742268017495E-2</v>
      </c>
    </row>
    <row r="517" spans="17:32" x14ac:dyDescent="0.45">
      <c r="Q517">
        <v>435</v>
      </c>
      <c r="R517">
        <v>57.56</v>
      </c>
      <c r="T517">
        <f t="shared" si="23"/>
        <v>4.020618556691602E-2</v>
      </c>
      <c r="AC517">
        <v>435</v>
      </c>
      <c r="AD517">
        <v>7.81</v>
      </c>
      <c r="AF517">
        <f t="shared" si="22"/>
        <v>2.8247422680172107E-3</v>
      </c>
    </row>
    <row r="518" spans="17:32" x14ac:dyDescent="0.45">
      <c r="Q518">
        <v>436</v>
      </c>
      <c r="R518">
        <v>57.5</v>
      </c>
      <c r="T518">
        <f t="shared" si="23"/>
        <v>-1.9793814433086254E-2</v>
      </c>
      <c r="AC518">
        <v>436</v>
      </c>
      <c r="AD518">
        <v>7.81</v>
      </c>
      <c r="AF518">
        <f t="shared" si="22"/>
        <v>2.8247422680172107E-3</v>
      </c>
    </row>
    <row r="519" spans="17:32" x14ac:dyDescent="0.45">
      <c r="Q519">
        <v>437</v>
      </c>
      <c r="R519">
        <v>57.44</v>
      </c>
      <c r="T519">
        <f t="shared" si="23"/>
        <v>-7.9793814433088528E-2</v>
      </c>
      <c r="AC519">
        <v>437</v>
      </c>
      <c r="AD519">
        <v>7.81</v>
      </c>
      <c r="AF519">
        <f t="shared" si="22"/>
        <v>2.8247422680172107E-3</v>
      </c>
    </row>
    <row r="520" spans="17:32" x14ac:dyDescent="0.45">
      <c r="Q520">
        <v>438</v>
      </c>
      <c r="R520">
        <v>57.44</v>
      </c>
      <c r="T520">
        <f t="shared" si="23"/>
        <v>-7.9793814433088528E-2</v>
      </c>
      <c r="AC520">
        <v>438</v>
      </c>
      <c r="AD520">
        <v>7.81</v>
      </c>
      <c r="AF520">
        <f t="shared" si="22"/>
        <v>2.8247422680172107E-3</v>
      </c>
    </row>
    <row r="521" spans="17:32" x14ac:dyDescent="0.45">
      <c r="Q521">
        <v>439</v>
      </c>
      <c r="R521">
        <v>57.44</v>
      </c>
      <c r="T521">
        <f t="shared" si="23"/>
        <v>-7.9793814433088528E-2</v>
      </c>
      <c r="AC521">
        <v>439</v>
      </c>
      <c r="AD521">
        <v>7.81</v>
      </c>
      <c r="AF521">
        <f t="shared" si="22"/>
        <v>2.8247422680172107E-3</v>
      </c>
    </row>
    <row r="522" spans="17:32" x14ac:dyDescent="0.45">
      <c r="Q522">
        <v>440</v>
      </c>
      <c r="R522">
        <v>57.44</v>
      </c>
      <c r="T522">
        <f t="shared" si="23"/>
        <v>-7.9793814433088528E-2</v>
      </c>
      <c r="AC522">
        <v>440</v>
      </c>
      <c r="AD522">
        <v>7.81</v>
      </c>
      <c r="AF522">
        <f t="shared" si="22"/>
        <v>2.8247422680172107E-3</v>
      </c>
    </row>
    <row r="523" spans="17:32" x14ac:dyDescent="0.45">
      <c r="Q523">
        <v>441</v>
      </c>
      <c r="R523">
        <v>57.44</v>
      </c>
      <c r="T523">
        <f t="shared" si="23"/>
        <v>-7.9793814433088528E-2</v>
      </c>
      <c r="AC523">
        <v>441</v>
      </c>
      <c r="AD523">
        <v>7.81</v>
      </c>
      <c r="AF523">
        <f t="shared" si="22"/>
        <v>2.8247422680172107E-3</v>
      </c>
    </row>
    <row r="524" spans="17:32" x14ac:dyDescent="0.45">
      <c r="Q524">
        <v>442</v>
      </c>
      <c r="R524">
        <v>57.38</v>
      </c>
      <c r="T524">
        <f t="shared" si="23"/>
        <v>-0.1397938144330837</v>
      </c>
      <c r="AC524">
        <v>442</v>
      </c>
      <c r="AD524">
        <v>7.81</v>
      </c>
      <c r="AF524">
        <f t="shared" si="22"/>
        <v>2.8247422680172107E-3</v>
      </c>
    </row>
    <row r="525" spans="17:32" x14ac:dyDescent="0.45">
      <c r="Q525">
        <v>443</v>
      </c>
      <c r="R525">
        <v>57.31</v>
      </c>
      <c r="T525">
        <f t="shared" si="23"/>
        <v>-0.20979381443308398</v>
      </c>
      <c r="AC525">
        <v>443</v>
      </c>
      <c r="AD525">
        <v>7.88</v>
      </c>
      <c r="AF525">
        <f t="shared" si="22"/>
        <v>7.2824742268017495E-2</v>
      </c>
    </row>
    <row r="526" spans="17:32" x14ac:dyDescent="0.45">
      <c r="Q526">
        <v>444</v>
      </c>
      <c r="R526">
        <v>57.25</v>
      </c>
      <c r="T526">
        <f t="shared" si="23"/>
        <v>-0.26979381443308625</v>
      </c>
      <c r="AC526">
        <v>444</v>
      </c>
      <c r="AD526">
        <v>7.88</v>
      </c>
      <c r="AF526">
        <f t="shared" si="22"/>
        <v>7.2824742268017495E-2</v>
      </c>
    </row>
    <row r="527" spans="17:32" x14ac:dyDescent="0.45">
      <c r="Q527">
        <v>445</v>
      </c>
      <c r="R527">
        <v>57.19</v>
      </c>
      <c r="T527">
        <f t="shared" si="23"/>
        <v>-0.32979381443308853</v>
      </c>
      <c r="AC527">
        <v>445</v>
      </c>
      <c r="AD527">
        <v>7.88</v>
      </c>
      <c r="AF527">
        <f t="shared" si="22"/>
        <v>7.2824742268017495E-2</v>
      </c>
    </row>
    <row r="528" spans="17:32" x14ac:dyDescent="0.45">
      <c r="Q528">
        <v>446</v>
      </c>
      <c r="R528">
        <v>57.13</v>
      </c>
      <c r="T528">
        <f t="shared" si="23"/>
        <v>-0.3897938144330837</v>
      </c>
      <c r="AC528">
        <v>446</v>
      </c>
      <c r="AD528">
        <v>7.88</v>
      </c>
      <c r="AF528">
        <f t="shared" si="22"/>
        <v>7.2824742268017495E-2</v>
      </c>
    </row>
    <row r="529" spans="17:32" x14ac:dyDescent="0.45">
      <c r="Q529">
        <v>447</v>
      </c>
      <c r="R529">
        <v>57.13</v>
      </c>
      <c r="T529">
        <f t="shared" si="23"/>
        <v>-0.3897938144330837</v>
      </c>
      <c r="AC529">
        <v>447</v>
      </c>
      <c r="AD529">
        <v>7.88</v>
      </c>
      <c r="AF529">
        <f t="shared" si="22"/>
        <v>7.2824742268017495E-2</v>
      </c>
    </row>
    <row r="530" spans="17:32" x14ac:dyDescent="0.45">
      <c r="Q530">
        <v>448</v>
      </c>
      <c r="R530">
        <v>57.06</v>
      </c>
      <c r="T530">
        <f t="shared" si="23"/>
        <v>-0.45979381443308398</v>
      </c>
      <c r="AC530">
        <v>448</v>
      </c>
      <c r="AD530">
        <v>7.94</v>
      </c>
      <c r="AF530">
        <f t="shared" si="22"/>
        <v>0.13282474226801799</v>
      </c>
    </row>
    <row r="531" spans="17:32" x14ac:dyDescent="0.45">
      <c r="Q531">
        <v>449</v>
      </c>
      <c r="R531">
        <v>57.06</v>
      </c>
      <c r="T531">
        <f t="shared" si="23"/>
        <v>-0.45979381443308398</v>
      </c>
      <c r="AC531">
        <v>449</v>
      </c>
      <c r="AD531">
        <v>7.94</v>
      </c>
      <c r="AF531">
        <f t="shared" ref="AF531:AF566" si="24">(AD531-$AE$82)</f>
        <v>0.13282474226801799</v>
      </c>
    </row>
    <row r="532" spans="17:32" x14ac:dyDescent="0.45">
      <c r="Q532">
        <v>450</v>
      </c>
      <c r="R532">
        <v>57.06</v>
      </c>
      <c r="T532">
        <f t="shared" ref="T532:T566" si="25">(R532-$S$82)</f>
        <v>-0.45979381443308398</v>
      </c>
      <c r="AC532">
        <v>450</v>
      </c>
      <c r="AD532">
        <v>7.94</v>
      </c>
      <c r="AF532">
        <f t="shared" si="24"/>
        <v>0.13282474226801799</v>
      </c>
    </row>
    <row r="533" spans="17:32" x14ac:dyDescent="0.45">
      <c r="Q533">
        <v>451</v>
      </c>
      <c r="R533">
        <v>57</v>
      </c>
      <c r="T533">
        <f t="shared" si="25"/>
        <v>-0.51979381443308625</v>
      </c>
      <c r="AC533">
        <v>451</v>
      </c>
      <c r="AD533">
        <v>7.94</v>
      </c>
      <c r="AF533">
        <f t="shared" si="24"/>
        <v>0.13282474226801799</v>
      </c>
    </row>
    <row r="534" spans="17:32" x14ac:dyDescent="0.45">
      <c r="Q534">
        <v>452</v>
      </c>
      <c r="R534">
        <v>57</v>
      </c>
      <c r="T534">
        <f t="shared" si="25"/>
        <v>-0.51979381443308625</v>
      </c>
      <c r="AC534">
        <v>452</v>
      </c>
      <c r="AD534">
        <v>7.88</v>
      </c>
      <c r="AF534">
        <f t="shared" si="24"/>
        <v>7.2824742268017495E-2</v>
      </c>
    </row>
    <row r="535" spans="17:32" x14ac:dyDescent="0.45">
      <c r="Q535">
        <v>453</v>
      </c>
      <c r="R535">
        <v>57</v>
      </c>
      <c r="T535">
        <f t="shared" si="25"/>
        <v>-0.51979381443308625</v>
      </c>
      <c r="AC535">
        <v>453</v>
      </c>
      <c r="AD535">
        <v>7.94</v>
      </c>
      <c r="AF535">
        <f t="shared" si="24"/>
        <v>0.13282474226801799</v>
      </c>
    </row>
    <row r="536" spans="17:32" x14ac:dyDescent="0.45">
      <c r="Q536">
        <v>454</v>
      </c>
      <c r="R536">
        <v>57</v>
      </c>
      <c r="T536">
        <f t="shared" si="25"/>
        <v>-0.51979381443308625</v>
      </c>
      <c r="AC536">
        <v>454</v>
      </c>
      <c r="AD536">
        <v>7.88</v>
      </c>
      <c r="AF536">
        <f t="shared" si="24"/>
        <v>7.2824742268017495E-2</v>
      </c>
    </row>
    <row r="537" spans="17:32" x14ac:dyDescent="0.45">
      <c r="Q537">
        <v>455</v>
      </c>
      <c r="R537">
        <v>57</v>
      </c>
      <c r="T537">
        <f t="shared" si="25"/>
        <v>-0.51979381443308625</v>
      </c>
      <c r="AC537">
        <v>455</v>
      </c>
      <c r="AD537">
        <v>7.88</v>
      </c>
      <c r="AF537">
        <f t="shared" si="24"/>
        <v>7.2824742268017495E-2</v>
      </c>
    </row>
    <row r="538" spans="17:32" x14ac:dyDescent="0.45">
      <c r="Q538">
        <v>456</v>
      </c>
      <c r="R538">
        <v>56.94</v>
      </c>
      <c r="T538">
        <f t="shared" si="25"/>
        <v>-0.57979381443308853</v>
      </c>
      <c r="AC538">
        <v>456</v>
      </c>
      <c r="AD538">
        <v>7.88</v>
      </c>
      <c r="AF538">
        <f t="shared" si="24"/>
        <v>7.2824742268017495E-2</v>
      </c>
    </row>
    <row r="539" spans="17:32" x14ac:dyDescent="0.45">
      <c r="Q539">
        <v>457</v>
      </c>
      <c r="R539">
        <v>57</v>
      </c>
      <c r="T539">
        <f t="shared" si="25"/>
        <v>-0.51979381443308625</v>
      </c>
      <c r="AC539">
        <v>457</v>
      </c>
      <c r="AD539">
        <v>7.88</v>
      </c>
      <c r="AF539">
        <f t="shared" si="24"/>
        <v>7.2824742268017495E-2</v>
      </c>
    </row>
    <row r="540" spans="17:32" x14ac:dyDescent="0.45">
      <c r="Q540">
        <v>458</v>
      </c>
      <c r="R540">
        <v>57.06</v>
      </c>
      <c r="T540">
        <f t="shared" si="25"/>
        <v>-0.45979381443308398</v>
      </c>
      <c r="AC540">
        <v>458</v>
      </c>
      <c r="AD540">
        <v>7.88</v>
      </c>
      <c r="AF540">
        <f t="shared" si="24"/>
        <v>7.2824742268017495E-2</v>
      </c>
    </row>
    <row r="541" spans="17:32" x14ac:dyDescent="0.45">
      <c r="Q541">
        <v>459</v>
      </c>
      <c r="R541">
        <v>57.06</v>
      </c>
      <c r="T541">
        <f t="shared" si="25"/>
        <v>-0.45979381443308398</v>
      </c>
      <c r="AC541">
        <v>459</v>
      </c>
      <c r="AD541">
        <v>7.88</v>
      </c>
      <c r="AF541">
        <f t="shared" si="24"/>
        <v>7.2824742268017495E-2</v>
      </c>
    </row>
    <row r="542" spans="17:32" x14ac:dyDescent="0.45">
      <c r="Q542">
        <v>460</v>
      </c>
      <c r="R542">
        <v>57.13</v>
      </c>
      <c r="T542">
        <f t="shared" si="25"/>
        <v>-0.3897938144330837</v>
      </c>
      <c r="AC542">
        <v>460</v>
      </c>
      <c r="AD542">
        <v>7.88</v>
      </c>
      <c r="AF542">
        <f t="shared" si="24"/>
        <v>7.2824742268017495E-2</v>
      </c>
    </row>
    <row r="543" spans="17:32" x14ac:dyDescent="0.45">
      <c r="Q543">
        <v>461</v>
      </c>
      <c r="R543">
        <v>57.13</v>
      </c>
      <c r="T543">
        <f t="shared" si="25"/>
        <v>-0.3897938144330837</v>
      </c>
      <c r="AC543">
        <v>461</v>
      </c>
      <c r="AD543">
        <v>7.88</v>
      </c>
      <c r="AF543">
        <f t="shared" si="24"/>
        <v>7.2824742268017495E-2</v>
      </c>
    </row>
    <row r="544" spans="17:32" x14ac:dyDescent="0.45">
      <c r="Q544">
        <v>462</v>
      </c>
      <c r="R544">
        <v>57.06</v>
      </c>
      <c r="T544">
        <f t="shared" si="25"/>
        <v>-0.45979381443308398</v>
      </c>
      <c r="AC544">
        <v>462</v>
      </c>
      <c r="AD544">
        <v>7.88</v>
      </c>
      <c r="AF544">
        <f t="shared" si="24"/>
        <v>7.2824742268017495E-2</v>
      </c>
    </row>
    <row r="545" spans="17:32" x14ac:dyDescent="0.45">
      <c r="Q545">
        <v>463</v>
      </c>
      <c r="R545">
        <v>57.06</v>
      </c>
      <c r="T545">
        <f t="shared" si="25"/>
        <v>-0.45979381443308398</v>
      </c>
      <c r="AC545">
        <v>463</v>
      </c>
      <c r="AD545">
        <v>7.88</v>
      </c>
      <c r="AF545">
        <f t="shared" si="24"/>
        <v>7.2824742268017495E-2</v>
      </c>
    </row>
    <row r="546" spans="17:32" x14ac:dyDescent="0.45">
      <c r="Q546">
        <v>464</v>
      </c>
      <c r="R546">
        <v>57.06</v>
      </c>
      <c r="T546">
        <f t="shared" si="25"/>
        <v>-0.45979381443308398</v>
      </c>
      <c r="AC546">
        <v>464</v>
      </c>
      <c r="AD546">
        <v>7.88</v>
      </c>
      <c r="AF546">
        <f t="shared" si="24"/>
        <v>7.2824742268017495E-2</v>
      </c>
    </row>
    <row r="547" spans="17:32" x14ac:dyDescent="0.45">
      <c r="Q547">
        <v>465</v>
      </c>
      <c r="R547">
        <v>57.06</v>
      </c>
      <c r="T547">
        <f t="shared" si="25"/>
        <v>-0.45979381443308398</v>
      </c>
      <c r="AC547">
        <v>465</v>
      </c>
      <c r="AD547">
        <v>7.88</v>
      </c>
      <c r="AF547">
        <f t="shared" si="24"/>
        <v>7.2824742268017495E-2</v>
      </c>
    </row>
    <row r="548" spans="17:32" x14ac:dyDescent="0.45">
      <c r="Q548">
        <v>466</v>
      </c>
      <c r="R548">
        <v>57.06</v>
      </c>
      <c r="T548">
        <f t="shared" si="25"/>
        <v>-0.45979381443308398</v>
      </c>
      <c r="AC548">
        <v>466</v>
      </c>
      <c r="AD548">
        <v>7.94</v>
      </c>
      <c r="AF548">
        <f t="shared" si="24"/>
        <v>0.13282474226801799</v>
      </c>
    </row>
    <row r="549" spans="17:32" x14ac:dyDescent="0.45">
      <c r="Q549">
        <v>467</v>
      </c>
      <c r="R549">
        <v>57.06</v>
      </c>
      <c r="T549">
        <f t="shared" si="25"/>
        <v>-0.45979381443308398</v>
      </c>
      <c r="AC549">
        <v>467</v>
      </c>
      <c r="AD549">
        <v>7.94</v>
      </c>
      <c r="AF549">
        <f t="shared" si="24"/>
        <v>0.13282474226801799</v>
      </c>
    </row>
    <row r="550" spans="17:32" x14ac:dyDescent="0.45">
      <c r="Q550">
        <v>468</v>
      </c>
      <c r="R550">
        <v>57.06</v>
      </c>
      <c r="T550">
        <f t="shared" si="25"/>
        <v>-0.45979381443308398</v>
      </c>
      <c r="AC550">
        <v>468</v>
      </c>
      <c r="AD550">
        <v>7.94</v>
      </c>
      <c r="AF550">
        <f t="shared" si="24"/>
        <v>0.13282474226801799</v>
      </c>
    </row>
    <row r="551" spans="17:32" x14ac:dyDescent="0.45">
      <c r="Q551">
        <v>469</v>
      </c>
      <c r="R551">
        <v>57.06</v>
      </c>
      <c r="T551">
        <f t="shared" si="25"/>
        <v>-0.45979381443308398</v>
      </c>
      <c r="AC551">
        <v>469</v>
      </c>
      <c r="AD551">
        <v>7.94</v>
      </c>
      <c r="AF551">
        <f t="shared" si="24"/>
        <v>0.13282474226801799</v>
      </c>
    </row>
    <row r="552" spans="17:32" x14ac:dyDescent="0.45">
      <c r="Q552">
        <v>470</v>
      </c>
      <c r="R552">
        <v>57.06</v>
      </c>
      <c r="T552">
        <f t="shared" si="25"/>
        <v>-0.45979381443308398</v>
      </c>
      <c r="AC552">
        <v>470</v>
      </c>
      <c r="AD552">
        <v>7.88</v>
      </c>
      <c r="AF552">
        <f t="shared" si="24"/>
        <v>7.2824742268017495E-2</v>
      </c>
    </row>
    <row r="553" spans="17:32" x14ac:dyDescent="0.45">
      <c r="Q553">
        <v>471</v>
      </c>
      <c r="R553">
        <v>57</v>
      </c>
      <c r="T553">
        <f t="shared" si="25"/>
        <v>-0.51979381443308625</v>
      </c>
      <c r="AC553">
        <v>471</v>
      </c>
      <c r="AD553">
        <v>7.88</v>
      </c>
      <c r="AF553">
        <f t="shared" si="24"/>
        <v>7.2824742268017495E-2</v>
      </c>
    </row>
    <row r="554" spans="17:32" x14ac:dyDescent="0.45">
      <c r="Q554">
        <v>472</v>
      </c>
      <c r="R554">
        <v>57</v>
      </c>
      <c r="T554">
        <f t="shared" si="25"/>
        <v>-0.51979381443308625</v>
      </c>
      <c r="AC554">
        <v>472</v>
      </c>
      <c r="AD554">
        <v>7.94</v>
      </c>
      <c r="AF554">
        <f t="shared" si="24"/>
        <v>0.13282474226801799</v>
      </c>
    </row>
    <row r="555" spans="17:32" x14ac:dyDescent="0.45">
      <c r="Q555">
        <v>473</v>
      </c>
      <c r="R555">
        <v>56.94</v>
      </c>
      <c r="T555">
        <f t="shared" si="25"/>
        <v>-0.57979381443308853</v>
      </c>
      <c r="AC555">
        <v>473</v>
      </c>
      <c r="AD555">
        <v>7.88</v>
      </c>
      <c r="AF555">
        <f t="shared" si="24"/>
        <v>7.2824742268017495E-2</v>
      </c>
    </row>
    <row r="556" spans="17:32" x14ac:dyDescent="0.45">
      <c r="Q556">
        <v>474</v>
      </c>
      <c r="R556">
        <v>56.94</v>
      </c>
      <c r="T556">
        <f t="shared" si="25"/>
        <v>-0.57979381443308853</v>
      </c>
      <c r="AC556">
        <v>474</v>
      </c>
      <c r="AD556">
        <v>7.88</v>
      </c>
      <c r="AF556">
        <f t="shared" si="24"/>
        <v>7.2824742268017495E-2</v>
      </c>
    </row>
    <row r="557" spans="17:32" x14ac:dyDescent="0.45">
      <c r="Q557">
        <v>475</v>
      </c>
      <c r="R557">
        <v>56.94</v>
      </c>
      <c r="T557">
        <f t="shared" si="25"/>
        <v>-0.57979381443308853</v>
      </c>
      <c r="AC557">
        <v>475</v>
      </c>
      <c r="AD557">
        <v>7.88</v>
      </c>
      <c r="AF557">
        <f t="shared" si="24"/>
        <v>7.2824742268017495E-2</v>
      </c>
    </row>
    <row r="558" spans="17:32" x14ac:dyDescent="0.45">
      <c r="Q558">
        <v>476</v>
      </c>
      <c r="R558">
        <v>57</v>
      </c>
      <c r="T558">
        <f t="shared" si="25"/>
        <v>-0.51979381443308625</v>
      </c>
      <c r="AC558">
        <v>476</v>
      </c>
      <c r="AD558">
        <v>7.88</v>
      </c>
      <c r="AF558">
        <f t="shared" si="24"/>
        <v>7.2824742268017495E-2</v>
      </c>
    </row>
    <row r="559" spans="17:32" x14ac:dyDescent="0.45">
      <c r="Q559">
        <v>477</v>
      </c>
      <c r="R559">
        <v>57</v>
      </c>
      <c r="T559">
        <f t="shared" si="25"/>
        <v>-0.51979381443308625</v>
      </c>
      <c r="AC559">
        <v>477</v>
      </c>
      <c r="AD559">
        <v>7.88</v>
      </c>
      <c r="AF559">
        <f t="shared" si="24"/>
        <v>7.2824742268017495E-2</v>
      </c>
    </row>
    <row r="560" spans="17:32" x14ac:dyDescent="0.45">
      <c r="Q560">
        <v>478</v>
      </c>
      <c r="R560">
        <v>57</v>
      </c>
      <c r="T560">
        <f t="shared" si="25"/>
        <v>-0.51979381443308625</v>
      </c>
      <c r="AC560">
        <v>478</v>
      </c>
      <c r="AD560">
        <v>7.88</v>
      </c>
      <c r="AF560">
        <f t="shared" si="24"/>
        <v>7.2824742268017495E-2</v>
      </c>
    </row>
    <row r="561" spans="17:32" x14ac:dyDescent="0.45">
      <c r="Q561">
        <v>479</v>
      </c>
      <c r="R561">
        <v>57</v>
      </c>
      <c r="T561">
        <f t="shared" si="25"/>
        <v>-0.51979381443308625</v>
      </c>
      <c r="AC561">
        <v>479</v>
      </c>
      <c r="AD561">
        <v>7.88</v>
      </c>
      <c r="AF561">
        <f t="shared" si="24"/>
        <v>7.2824742268017495E-2</v>
      </c>
    </row>
    <row r="562" spans="17:32" x14ac:dyDescent="0.45">
      <c r="Q562">
        <v>480</v>
      </c>
      <c r="R562">
        <v>57.06</v>
      </c>
      <c r="T562">
        <f t="shared" si="25"/>
        <v>-0.45979381443308398</v>
      </c>
      <c r="AC562">
        <v>480</v>
      </c>
      <c r="AD562">
        <v>7.88</v>
      </c>
      <c r="AF562">
        <f t="shared" si="24"/>
        <v>7.2824742268017495E-2</v>
      </c>
    </row>
    <row r="563" spans="17:32" x14ac:dyDescent="0.45">
      <c r="Q563">
        <v>481</v>
      </c>
      <c r="R563">
        <v>57.06</v>
      </c>
      <c r="T563">
        <f t="shared" si="25"/>
        <v>-0.45979381443308398</v>
      </c>
      <c r="AC563">
        <v>481</v>
      </c>
      <c r="AD563">
        <v>7.94</v>
      </c>
      <c r="AF563">
        <f t="shared" si="24"/>
        <v>0.13282474226801799</v>
      </c>
    </row>
    <row r="564" spans="17:32" x14ac:dyDescent="0.45">
      <c r="Q564">
        <v>482</v>
      </c>
      <c r="R564">
        <v>57.06</v>
      </c>
      <c r="T564">
        <f t="shared" si="25"/>
        <v>-0.45979381443308398</v>
      </c>
      <c r="AC564">
        <v>482</v>
      </c>
      <c r="AD564">
        <v>7.94</v>
      </c>
      <c r="AF564">
        <f t="shared" si="24"/>
        <v>0.13282474226801799</v>
      </c>
    </row>
    <row r="565" spans="17:32" x14ac:dyDescent="0.45">
      <c r="Q565">
        <v>483</v>
      </c>
      <c r="R565">
        <v>57.06</v>
      </c>
      <c r="T565">
        <f t="shared" si="25"/>
        <v>-0.45979381443308398</v>
      </c>
      <c r="AC565">
        <v>483</v>
      </c>
      <c r="AD565">
        <v>7.94</v>
      </c>
      <c r="AF565">
        <f t="shared" si="24"/>
        <v>0.13282474226801799</v>
      </c>
    </row>
    <row r="566" spans="17:32" x14ac:dyDescent="0.45">
      <c r="Q566">
        <v>484</v>
      </c>
      <c r="R566">
        <v>57.06</v>
      </c>
      <c r="T566">
        <f t="shared" si="25"/>
        <v>-0.45979381443308398</v>
      </c>
      <c r="AC566">
        <v>484</v>
      </c>
      <c r="AD566">
        <v>8</v>
      </c>
      <c r="AF566">
        <f t="shared" si="24"/>
        <v>0.1928247422680176</v>
      </c>
    </row>
  </sheetData>
  <sortState xmlns:xlrd2="http://schemas.microsoft.com/office/spreadsheetml/2017/richdata2" ref="E28:F35">
    <sortCondition ref="E28:E35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Milne, Henry</dc:creator>
  <cp:lastModifiedBy>Milne, Henry</cp:lastModifiedBy>
  <dcterms:created xsi:type="dcterms:W3CDTF">2025-12-04T19:03:23Z</dcterms:created>
  <dcterms:modified xsi:type="dcterms:W3CDTF">2025-12-12T11:30:13Z</dcterms:modified>
</cp:coreProperties>
</file>